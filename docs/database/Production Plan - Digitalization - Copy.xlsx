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C:\Users\TPG\Desktop\AUTOLIV DATA\PLANT 2_Projects\Inventory Management\Production Demand\"/>
    </mc:Choice>
  </mc:AlternateContent>
  <xr:revisionPtr revIDLastSave="0" documentId="13_ncr:1_{7F93B257-30A3-4228-BF9D-9CC32F5BD7FA}" xr6:coauthVersionLast="47" xr6:coauthVersionMax="47" xr10:uidLastSave="{00000000-0000-0000-0000-000000000000}"/>
  <bookViews>
    <workbookView xWindow="-110" yWindow="-110" windowWidth="19420" windowHeight="10420" firstSheet="1" activeTab="1" xr2:uid="{9D1D70F8-6CA5-43D0-AA39-5A69A132BDEA}"/>
  </bookViews>
  <sheets>
    <sheet name="Production Plan_wk33" sheetId="1" state="hidden" r:id="rId1"/>
    <sheet name="Body Supply" sheetId="2" r:id="rId2"/>
  </sheets>
  <definedNames>
    <definedName name="_xlnm._FilterDatabase" localSheetId="1" hidden="1">'Body Supply'!$B$4:$AA$74</definedName>
    <definedName name="_xlnm._FilterDatabase" localSheetId="0" hidden="1">'Production Plan_wk33'!$A$3:$AE$410</definedName>
    <definedName name="excess">#REF!</definedName>
    <definedName name="new">#REF!</definedName>
    <definedName name="OLD">#REF!</definedName>
    <definedName name="orig">#REF!</definedName>
    <definedName name="ref">#REF!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65" i="1" l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I213" i="1"/>
  <c r="L176" i="1" l="1"/>
  <c r="H310" i="1" l="1"/>
  <c r="V77" i="1" l="1"/>
  <c r="R346" i="1"/>
  <c r="S77" i="1" l="1"/>
  <c r="T176" i="1" l="1"/>
  <c r="R176" i="1"/>
  <c r="N176" i="1"/>
  <c r="K176" i="1"/>
  <c r="I176" i="1"/>
  <c r="H176" i="1"/>
  <c r="K173" i="1"/>
  <c r="H173" i="1"/>
  <c r="Z395" i="1" l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G395" i="1"/>
  <c r="F395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AD36" i="1"/>
  <c r="AB36" i="1"/>
  <c r="AE36" i="1" s="1"/>
  <c r="AD220" i="1"/>
  <c r="AD219" i="1"/>
  <c r="AD218" i="1"/>
  <c r="AD217" i="1"/>
  <c r="AB221" i="1"/>
  <c r="AB220" i="1"/>
  <c r="AE220" i="1" s="1"/>
  <c r="AB219" i="1"/>
  <c r="AE219" i="1" s="1"/>
  <c r="AB218" i="1"/>
  <c r="AB217" i="1"/>
  <c r="AE217" i="1" s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AE218" i="1" l="1"/>
  <c r="H395" i="1" l="1"/>
  <c r="R76" i="1" l="1"/>
  <c r="Z397" i="1" l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F360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F391" i="1" l="1"/>
  <c r="AD158" i="1"/>
  <c r="AB158" i="1"/>
  <c r="AD177" i="1"/>
  <c r="AB177" i="1"/>
  <c r="AE177" i="1" s="1"/>
  <c r="AE158" i="1" l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AD273" i="1"/>
  <c r="AB273" i="1"/>
  <c r="AE273" i="1" s="1"/>
  <c r="F2" i="2" a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H392" i="1"/>
  <c r="G392" i="1"/>
  <c r="F392" i="1"/>
  <c r="I392" i="1"/>
  <c r="Z334" i="1" l="1"/>
  <c r="Y334" i="1"/>
  <c r="X334" i="1"/>
  <c r="V334" i="1"/>
  <c r="Q334" i="1"/>
  <c r="P334" i="1"/>
  <c r="N334" i="1"/>
  <c r="M334" i="1"/>
  <c r="J334" i="1"/>
  <c r="H334" i="1"/>
  <c r="AB5" i="1"/>
  <c r="AB6" i="1"/>
  <c r="AB8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5" i="1"/>
  <c r="AB37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7" i="1"/>
  <c r="AB78" i="1"/>
  <c r="AB79" i="1"/>
  <c r="AB80" i="1"/>
  <c r="AB81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8" i="1"/>
  <c r="AB109" i="1"/>
  <c r="AB111" i="1"/>
  <c r="AB112" i="1"/>
  <c r="AB113" i="1"/>
  <c r="AB115" i="1"/>
  <c r="AB116" i="1"/>
  <c r="AB117" i="1"/>
  <c r="AB118" i="1"/>
  <c r="AB119" i="1"/>
  <c r="AB120" i="1"/>
  <c r="AB121" i="1"/>
  <c r="AB122" i="1"/>
  <c r="AB125" i="1"/>
  <c r="AB126" i="1"/>
  <c r="AB127" i="1"/>
  <c r="AB128" i="1"/>
  <c r="AB129" i="1"/>
  <c r="AB131" i="1"/>
  <c r="AB132" i="1"/>
  <c r="AB133" i="1"/>
  <c r="AB134" i="1"/>
  <c r="AB135" i="1"/>
  <c r="AB136" i="1"/>
  <c r="AB137" i="1"/>
  <c r="AB138" i="1"/>
  <c r="AB139" i="1"/>
  <c r="AB140" i="1"/>
  <c r="AB141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22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55" i="1" l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C368" i="1" l="1"/>
  <c r="E32" i="2"/>
  <c r="E33" i="2"/>
  <c r="C369" i="1"/>
  <c r="F429" i="1"/>
  <c r="F425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Z362" i="1"/>
  <c r="Y362" i="1"/>
  <c r="X362" i="1"/>
  <c r="W362" i="1"/>
  <c r="V362" i="1"/>
  <c r="U362" i="1"/>
  <c r="S362" i="1"/>
  <c r="Q362" i="1"/>
  <c r="P362" i="1"/>
  <c r="N362" i="1"/>
  <c r="M362" i="1"/>
  <c r="K362" i="1"/>
  <c r="J362" i="1"/>
  <c r="H362" i="1"/>
  <c r="G362" i="1"/>
  <c r="F362" i="1"/>
  <c r="F361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41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AD331" i="1"/>
  <c r="AE331" i="1"/>
  <c r="AA32" i="2" l="1"/>
  <c r="AA33" i="2"/>
  <c r="AB34" i="1" l="1"/>
  <c r="AB142" i="1"/>
  <c r="O334" i="1"/>
  <c r="I362" i="1" l="1"/>
  <c r="AB107" i="1"/>
  <c r="R362" i="1"/>
  <c r="O362" i="1"/>
  <c r="Q346" i="1" l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Z391" i="1"/>
  <c r="Y391" i="1"/>
  <c r="X391" i="1"/>
  <c r="V391" i="1"/>
  <c r="Q391" i="1"/>
  <c r="P391" i="1"/>
  <c r="O391" i="1"/>
  <c r="N391" i="1"/>
  <c r="M391" i="1"/>
  <c r="L391" i="1"/>
  <c r="K391" i="1"/>
  <c r="J391" i="1"/>
  <c r="H391" i="1"/>
  <c r="G391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H387" i="1"/>
  <c r="G387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Z372" i="1"/>
  <c r="Y372" i="1"/>
  <c r="X372" i="1"/>
  <c r="W372" i="1"/>
  <c r="V372" i="1"/>
  <c r="U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K353" i="1"/>
  <c r="J353" i="1"/>
  <c r="I353" i="1"/>
  <c r="H353" i="1"/>
  <c r="G353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J352" i="1"/>
  <c r="I352" i="1"/>
  <c r="H352" i="1"/>
  <c r="G352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Z346" i="1"/>
  <c r="Y346" i="1"/>
  <c r="X346" i="1"/>
  <c r="W346" i="1"/>
  <c r="V346" i="1"/>
  <c r="U346" i="1"/>
  <c r="S346" i="1"/>
  <c r="P346" i="1"/>
  <c r="O346" i="1"/>
  <c r="N346" i="1"/>
  <c r="M346" i="1"/>
  <c r="L346" i="1"/>
  <c r="K346" i="1"/>
  <c r="J346" i="1"/>
  <c r="I346" i="1"/>
  <c r="H346" i="1"/>
  <c r="G346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84" i="1"/>
  <c r="F378" i="1"/>
  <c r="F364" i="1"/>
  <c r="F353" i="1"/>
  <c r="F346" i="1"/>
  <c r="F343" i="1"/>
  <c r="AB223" i="1" l="1"/>
  <c r="T346" i="1" l="1"/>
  <c r="AB224" i="1"/>
  <c r="AB39" i="1"/>
  <c r="T372" i="1" l="1"/>
  <c r="AB114" i="1"/>
  <c r="AB38" i="1"/>
  <c r="AB82" i="1"/>
  <c r="L362" i="1"/>
  <c r="G390" i="1"/>
  <c r="I387" i="1"/>
  <c r="AB7" i="1"/>
  <c r="AB9" i="1"/>
  <c r="K334" i="1" l="1"/>
  <c r="L334" i="1"/>
  <c r="AB110" i="1"/>
  <c r="L353" i="1"/>
  <c r="T362" i="1"/>
  <c r="K352" i="1"/>
  <c r="F356" i="1"/>
  <c r="F389" i="1"/>
  <c r="F408" i="1"/>
  <c r="F407" i="1"/>
  <c r="F406" i="1"/>
  <c r="F405" i="1"/>
  <c r="F404" i="1"/>
  <c r="F403" i="1"/>
  <c r="F402" i="1"/>
  <c r="F401" i="1"/>
  <c r="F400" i="1"/>
  <c r="F399" i="1"/>
  <c r="F398" i="1"/>
  <c r="F396" i="1"/>
  <c r="F393" i="1"/>
  <c r="F390" i="1"/>
  <c r="F388" i="1"/>
  <c r="F387" i="1"/>
  <c r="F386" i="1"/>
  <c r="F385" i="1"/>
  <c r="F382" i="1"/>
  <c r="F380" i="1"/>
  <c r="F379" i="1"/>
  <c r="F376" i="1"/>
  <c r="F375" i="1"/>
  <c r="F374" i="1"/>
  <c r="F373" i="1"/>
  <c r="F372" i="1"/>
  <c r="F371" i="1"/>
  <c r="F370" i="1"/>
  <c r="F367" i="1"/>
  <c r="F366" i="1"/>
  <c r="F363" i="1"/>
  <c r="F359" i="1"/>
  <c r="F357" i="1"/>
  <c r="F354" i="1"/>
  <c r="F352" i="1"/>
  <c r="F351" i="1"/>
  <c r="F350" i="1"/>
  <c r="F349" i="1"/>
  <c r="F348" i="1"/>
  <c r="F347" i="1"/>
  <c r="F345" i="1"/>
  <c r="F344" i="1"/>
  <c r="F342" i="1"/>
  <c r="I1" i="1" l="1"/>
  <c r="L1" i="1" s="1"/>
  <c r="AI3" i="1"/>
  <c r="AO3" i="1"/>
  <c r="AD198" i="1"/>
  <c r="AE199" i="1"/>
  <c r="AD199" i="1"/>
  <c r="AE200" i="1"/>
  <c r="AD200" i="1"/>
  <c r="AE201" i="1"/>
  <c r="AD201" i="1"/>
  <c r="AE202" i="1"/>
  <c r="AD202" i="1"/>
  <c r="AE203" i="1"/>
  <c r="AD203" i="1"/>
  <c r="AE204" i="1"/>
  <c r="AD204" i="1"/>
  <c r="AE205" i="1"/>
  <c r="AD205" i="1"/>
  <c r="AE206" i="1"/>
  <c r="AD206" i="1"/>
  <c r="AE207" i="1"/>
  <c r="AD207" i="1"/>
  <c r="AE208" i="1"/>
  <c r="AD208" i="1"/>
  <c r="AE209" i="1"/>
  <c r="AD209" i="1"/>
  <c r="AE210" i="1"/>
  <c r="AD210" i="1"/>
  <c r="AE211" i="1"/>
  <c r="AD211" i="1"/>
  <c r="AE212" i="1"/>
  <c r="AD212" i="1"/>
  <c r="AE213" i="1"/>
  <c r="AD213" i="1"/>
  <c r="AE214" i="1"/>
  <c r="AD214" i="1"/>
  <c r="AE215" i="1"/>
  <c r="AD215" i="1"/>
  <c r="AE216" i="1"/>
  <c r="AD216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E235" i="1"/>
  <c r="AD235" i="1"/>
  <c r="AE236" i="1"/>
  <c r="AD236" i="1"/>
  <c r="AE237" i="1"/>
  <c r="AD237" i="1"/>
  <c r="AE238" i="1"/>
  <c r="AD238" i="1"/>
  <c r="AE239" i="1"/>
  <c r="AD239" i="1"/>
  <c r="AE240" i="1"/>
  <c r="AD240" i="1"/>
  <c r="AE241" i="1"/>
  <c r="AD241" i="1"/>
  <c r="AE242" i="1"/>
  <c r="AD242" i="1"/>
  <c r="AE243" i="1"/>
  <c r="AD243" i="1"/>
  <c r="AE244" i="1"/>
  <c r="AD244" i="1"/>
  <c r="AE245" i="1"/>
  <c r="AD245" i="1"/>
  <c r="AE246" i="1"/>
  <c r="AD246" i="1"/>
  <c r="AE247" i="1"/>
  <c r="AD247" i="1"/>
  <c r="AE248" i="1"/>
  <c r="AD248" i="1"/>
  <c r="AE249" i="1"/>
  <c r="AD249" i="1"/>
  <c r="AE250" i="1"/>
  <c r="AD250" i="1"/>
  <c r="AE251" i="1"/>
  <c r="AD251" i="1"/>
  <c r="AE252" i="1"/>
  <c r="AD252" i="1"/>
  <c r="AE253" i="1"/>
  <c r="AD253" i="1"/>
  <c r="AE254" i="1"/>
  <c r="AD254" i="1"/>
  <c r="AE255" i="1"/>
  <c r="AD255" i="1"/>
  <c r="AE256" i="1"/>
  <c r="AD256" i="1"/>
  <c r="AE257" i="1"/>
  <c r="AD257" i="1"/>
  <c r="AE258" i="1"/>
  <c r="AD258" i="1"/>
  <c r="AE259" i="1"/>
  <c r="AD259" i="1"/>
  <c r="AE260" i="1"/>
  <c r="AD260" i="1"/>
  <c r="AE261" i="1"/>
  <c r="AD261" i="1"/>
  <c r="AE262" i="1"/>
  <c r="AD262" i="1"/>
  <c r="AE263" i="1"/>
  <c r="AD263" i="1"/>
  <c r="AE264" i="1"/>
  <c r="AD264" i="1"/>
  <c r="AE265" i="1"/>
  <c r="AD265" i="1"/>
  <c r="AE266" i="1"/>
  <c r="AD266" i="1"/>
  <c r="AE267" i="1"/>
  <c r="AD267" i="1"/>
  <c r="AE268" i="1"/>
  <c r="AD268" i="1"/>
  <c r="AE269" i="1"/>
  <c r="AD269" i="1"/>
  <c r="AE270" i="1"/>
  <c r="AD270" i="1"/>
  <c r="AE284" i="1"/>
  <c r="AD284" i="1"/>
  <c r="AE285" i="1"/>
  <c r="AD285" i="1"/>
  <c r="AE286" i="1"/>
  <c r="AD286" i="1"/>
  <c r="AE287" i="1"/>
  <c r="AD287" i="1"/>
  <c r="AE288" i="1"/>
  <c r="AD288" i="1"/>
  <c r="AE289" i="1"/>
  <c r="AD289" i="1"/>
  <c r="AE290" i="1"/>
  <c r="AD290" i="1"/>
  <c r="AE291" i="1"/>
  <c r="AD291" i="1"/>
  <c r="AE292" i="1"/>
  <c r="AD292" i="1"/>
  <c r="AE293" i="1"/>
  <c r="AD293" i="1"/>
  <c r="AE294" i="1"/>
  <c r="AD294" i="1"/>
  <c r="AE295" i="1"/>
  <c r="AD295" i="1"/>
  <c r="AE296" i="1"/>
  <c r="AD296" i="1"/>
  <c r="AE297" i="1"/>
  <c r="AD297" i="1"/>
  <c r="AE298" i="1"/>
  <c r="AD298" i="1"/>
  <c r="AE299" i="1"/>
  <c r="AD299" i="1"/>
  <c r="AE300" i="1"/>
  <c r="AD300" i="1"/>
  <c r="AE301" i="1"/>
  <c r="AD301" i="1"/>
  <c r="AE302" i="1"/>
  <c r="AD302" i="1"/>
  <c r="AE303" i="1"/>
  <c r="AD303" i="1"/>
  <c r="AE304" i="1"/>
  <c r="AD304" i="1"/>
  <c r="AE305" i="1"/>
  <c r="AD305" i="1"/>
  <c r="AE306" i="1"/>
  <c r="AD306" i="1"/>
  <c r="AE307" i="1"/>
  <c r="AD307" i="1"/>
  <c r="AE308" i="1"/>
  <c r="AD308" i="1"/>
  <c r="AE309" i="1"/>
  <c r="AD309" i="1"/>
  <c r="AE310" i="1"/>
  <c r="AD310" i="1"/>
  <c r="F338" i="1"/>
  <c r="AA396" i="1"/>
  <c r="AA409" i="1" s="1"/>
  <c r="AB409" i="1"/>
  <c r="F413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G422" i="1"/>
  <c r="H422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C427" i="1"/>
  <c r="G428" i="1"/>
  <c r="H428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I413" i="1" l="1"/>
  <c r="I338" i="1"/>
  <c r="H430" i="1"/>
  <c r="G430" i="1"/>
  <c r="F430" i="1"/>
  <c r="Q430" i="1"/>
  <c r="P430" i="1"/>
  <c r="O430" i="1"/>
  <c r="M430" i="1"/>
  <c r="L430" i="1"/>
  <c r="W430" i="1"/>
  <c r="K430" i="1"/>
  <c r="T430" i="1"/>
  <c r="R430" i="1"/>
  <c r="Z430" i="1"/>
  <c r="N430" i="1"/>
  <c r="Y430" i="1"/>
  <c r="X430" i="1"/>
  <c r="V430" i="1"/>
  <c r="J430" i="1"/>
  <c r="S430" i="1"/>
  <c r="U430" i="1"/>
  <c r="I430" i="1"/>
  <c r="O1" i="1"/>
  <c r="R1" i="1" s="1"/>
  <c r="U1" i="1" s="1"/>
  <c r="L338" i="1"/>
  <c r="L413" i="1"/>
  <c r="AE198" i="1"/>
  <c r="AE225" i="1"/>
  <c r="AE231" i="1"/>
  <c r="AE234" i="1"/>
  <c r="AE222" i="1"/>
  <c r="AE226" i="1"/>
  <c r="AE221" i="1"/>
  <c r="AE229" i="1"/>
  <c r="AE224" i="1"/>
  <c r="AE233" i="1"/>
  <c r="AE232" i="1"/>
  <c r="AE230" i="1"/>
  <c r="AE228" i="1"/>
  <c r="AE227" i="1"/>
  <c r="AE223" i="1"/>
  <c r="C428" i="1"/>
  <c r="M409" i="1"/>
  <c r="Y409" i="1"/>
  <c r="C422" i="1"/>
  <c r="C398" i="1"/>
  <c r="AC398" i="1" s="1"/>
  <c r="C397" i="1"/>
  <c r="C405" i="1"/>
  <c r="AC405" i="1" s="1"/>
  <c r="C401" i="1"/>
  <c r="AC401" i="1" s="1"/>
  <c r="C386" i="1"/>
  <c r="AC386" i="1" s="1"/>
  <c r="C359" i="1"/>
  <c r="AC359" i="1" s="1"/>
  <c r="C425" i="1"/>
  <c r="C389" i="1"/>
  <c r="AC389" i="1" s="1"/>
  <c r="C377" i="1"/>
  <c r="AC377" i="1" s="1"/>
  <c r="C370" i="1"/>
  <c r="AC370" i="1" s="1"/>
  <c r="C356" i="1"/>
  <c r="AC356" i="1" s="1"/>
  <c r="C351" i="1"/>
  <c r="AC351" i="1" s="1"/>
  <c r="K409" i="1"/>
  <c r="C352" i="1"/>
  <c r="AC352" i="1" s="1"/>
  <c r="C407" i="1"/>
  <c r="AC407" i="1" s="1"/>
  <c r="C403" i="1"/>
  <c r="AC403" i="1" s="1"/>
  <c r="C399" i="1"/>
  <c r="AC399" i="1" s="1"/>
  <c r="C406" i="1"/>
  <c r="AC406" i="1" s="1"/>
  <c r="C348" i="1"/>
  <c r="AC348" i="1" s="1"/>
  <c r="C416" i="1"/>
  <c r="C402" i="1"/>
  <c r="AC402" i="1" s="1"/>
  <c r="L409" i="1"/>
  <c r="C426" i="1"/>
  <c r="C361" i="1"/>
  <c r="AC361" i="1" s="1"/>
  <c r="C353" i="1"/>
  <c r="AC353" i="1" s="1"/>
  <c r="C423" i="1"/>
  <c r="C421" i="1"/>
  <c r="C418" i="1"/>
  <c r="C417" i="1"/>
  <c r="Q409" i="1"/>
  <c r="C393" i="1"/>
  <c r="AC393" i="1" s="1"/>
  <c r="C360" i="1"/>
  <c r="AC360" i="1" s="1"/>
  <c r="C343" i="1"/>
  <c r="AC343" i="1" s="1"/>
  <c r="X409" i="1"/>
  <c r="C420" i="1"/>
  <c r="C387" i="1"/>
  <c r="AC387" i="1" s="1"/>
  <c r="C371" i="1"/>
  <c r="AC371" i="1" s="1"/>
  <c r="C408" i="1"/>
  <c r="AC408" i="1" s="1"/>
  <c r="C404" i="1"/>
  <c r="AC404" i="1" s="1"/>
  <c r="C400" i="1"/>
  <c r="AC400" i="1" s="1"/>
  <c r="P409" i="1"/>
  <c r="C385" i="1"/>
  <c r="AC385" i="1" s="1"/>
  <c r="C381" i="1"/>
  <c r="AC381" i="1" s="1"/>
  <c r="C374" i="1"/>
  <c r="AC374" i="1" s="1"/>
  <c r="C347" i="1"/>
  <c r="AC347" i="1" s="1"/>
  <c r="C419" i="1"/>
  <c r="C382" i="1"/>
  <c r="AC382" i="1" s="1"/>
  <c r="C363" i="1"/>
  <c r="AC363" i="1" s="1"/>
  <c r="C344" i="1"/>
  <c r="AC344" i="1" s="1"/>
  <c r="C390" i="1"/>
  <c r="AC390" i="1" s="1"/>
  <c r="C364" i="1"/>
  <c r="AC364" i="1" s="1"/>
  <c r="C379" i="1"/>
  <c r="AC379" i="1" s="1"/>
  <c r="C375" i="1"/>
  <c r="AC375" i="1" s="1"/>
  <c r="C357" i="1"/>
  <c r="AC357" i="1" s="1"/>
  <c r="C349" i="1"/>
  <c r="AC349" i="1" s="1"/>
  <c r="C392" i="1"/>
  <c r="AC392" i="1" s="1"/>
  <c r="C388" i="1"/>
  <c r="AC388" i="1" s="1"/>
  <c r="C384" i="1"/>
  <c r="AC384" i="1" s="1"/>
  <c r="C376" i="1"/>
  <c r="AC376" i="1" s="1"/>
  <c r="C372" i="1"/>
  <c r="AC372" i="1" s="1"/>
  <c r="C366" i="1"/>
  <c r="AC366" i="1" s="1"/>
  <c r="C362" i="1"/>
  <c r="AC362" i="1" s="1"/>
  <c r="C358" i="1"/>
  <c r="AC358" i="1" s="1"/>
  <c r="C354" i="1"/>
  <c r="AC354" i="1" s="1"/>
  <c r="C350" i="1"/>
  <c r="AC350" i="1" s="1"/>
  <c r="C342" i="1"/>
  <c r="AC342" i="1" s="1"/>
  <c r="C373" i="1"/>
  <c r="AC373" i="1" s="1"/>
  <c r="C367" i="1"/>
  <c r="AC367" i="1" s="1"/>
  <c r="C394" i="1"/>
  <c r="AC394" i="1" s="1"/>
  <c r="C429" i="1"/>
  <c r="C395" i="1"/>
  <c r="AC395" i="1" s="1"/>
  <c r="C365" i="1"/>
  <c r="AC365" i="1" s="1"/>
  <c r="C424" i="1"/>
  <c r="Z409" i="1"/>
  <c r="N409" i="1"/>
  <c r="J409" i="1"/>
  <c r="H409" i="1"/>
  <c r="C345" i="1"/>
  <c r="AC345" i="1" s="1"/>
  <c r="C346" i="1"/>
  <c r="AC346" i="1" s="1"/>
  <c r="C378" i="1"/>
  <c r="AC378" i="1" s="1"/>
  <c r="C341" i="1"/>
  <c r="G334" i="1"/>
  <c r="AB76" i="1" l="1"/>
  <c r="F334" i="1"/>
  <c r="J435" i="1"/>
  <c r="J436" i="1" s="1"/>
  <c r="X435" i="1"/>
  <c r="X436" i="1" s="1"/>
  <c r="N435" i="1"/>
  <c r="N436" i="1" s="1"/>
  <c r="Y435" i="1"/>
  <c r="Y436" i="1" s="1"/>
  <c r="H435" i="1"/>
  <c r="H436" i="1" s="1"/>
  <c r="Z435" i="1"/>
  <c r="Z436" i="1" s="1"/>
  <c r="K435" i="1"/>
  <c r="K436" i="1" s="1"/>
  <c r="L435" i="1"/>
  <c r="L436" i="1" s="1"/>
  <c r="P435" i="1"/>
  <c r="P436" i="1" s="1"/>
  <c r="M435" i="1"/>
  <c r="M436" i="1" s="1"/>
  <c r="Q435" i="1"/>
  <c r="Q436" i="1" s="1"/>
  <c r="O338" i="1"/>
  <c r="C430" i="1"/>
  <c r="O413" i="1"/>
  <c r="F355" i="1"/>
  <c r="F409" i="1" s="1"/>
  <c r="F435" i="1" s="1"/>
  <c r="G355" i="1"/>
  <c r="G409" i="1" s="1"/>
  <c r="G435" i="1" s="1"/>
  <c r="G436" i="1" s="1"/>
  <c r="R413" i="1"/>
  <c r="R338" i="1"/>
  <c r="O409" i="1"/>
  <c r="O435" i="1" s="1"/>
  <c r="O436" i="1" s="1"/>
  <c r="C380" i="1"/>
  <c r="AC380" i="1" s="1"/>
  <c r="U431" i="1"/>
  <c r="O431" i="1"/>
  <c r="R431" i="1"/>
  <c r="X410" i="1"/>
  <c r="I431" i="1"/>
  <c r="L431" i="1"/>
  <c r="L410" i="1"/>
  <c r="F431" i="1"/>
  <c r="X431" i="1"/>
  <c r="U413" i="1"/>
  <c r="X1" i="1"/>
  <c r="U338" i="1"/>
  <c r="AC341" i="1"/>
  <c r="U334" i="1"/>
  <c r="F436" i="1" l="1"/>
  <c r="U391" i="1"/>
  <c r="F410" i="1"/>
  <c r="G433" i="1" s="1"/>
  <c r="O410" i="1"/>
  <c r="P433" i="1" s="1"/>
  <c r="C355" i="1"/>
  <c r="M433" i="1"/>
  <c r="Y433" i="1"/>
  <c r="X413" i="1"/>
  <c r="X338" i="1"/>
  <c r="AC355" i="1" l="1"/>
  <c r="AE324" i="1" l="1"/>
  <c r="AD324" i="1"/>
  <c r="AE325" i="1"/>
  <c r="AD325" i="1"/>
  <c r="AE326" i="1"/>
  <c r="AD326" i="1"/>
  <c r="AE327" i="1"/>
  <c r="AD327" i="1"/>
  <c r="AE328" i="1"/>
  <c r="AD328" i="1"/>
  <c r="AE329" i="1"/>
  <c r="AD329" i="1"/>
  <c r="AE330" i="1"/>
  <c r="AD330" i="1"/>
  <c r="AE116" i="1" l="1"/>
  <c r="AD116" i="1"/>
  <c r="W334" i="1" l="1"/>
  <c r="T334" i="1"/>
  <c r="S334" i="1"/>
  <c r="AE102" i="1"/>
  <c r="AD102" i="1"/>
  <c r="AD33" i="1"/>
  <c r="AB130" i="1" l="1"/>
  <c r="R334" i="1"/>
  <c r="R391" i="1"/>
  <c r="R409" i="1" s="1"/>
  <c r="S391" i="1"/>
  <c r="T391" i="1"/>
  <c r="T409" i="1" s="1"/>
  <c r="T435" i="1" s="1"/>
  <c r="T436" i="1" s="1"/>
  <c r="W391" i="1"/>
  <c r="W409" i="1" s="1"/>
  <c r="W435" i="1" s="1"/>
  <c r="W436" i="1" s="1"/>
  <c r="C396" i="1"/>
  <c r="AE33" i="1"/>
  <c r="S409" i="1" l="1"/>
  <c r="S435" i="1" s="1"/>
  <c r="S436" i="1" s="1"/>
  <c r="R435" i="1"/>
  <c r="R436" i="1" s="1"/>
  <c r="AC396" i="1"/>
  <c r="AD332" i="1"/>
  <c r="AE332" i="1"/>
  <c r="R410" i="1" l="1"/>
  <c r="S433" i="1" s="1"/>
  <c r="E86" i="2"/>
  <c r="AA86" i="2" s="1"/>
  <c r="AD127" i="1" l="1"/>
  <c r="AE127" i="1" l="1"/>
  <c r="AD333" i="1" l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283" i="1"/>
  <c r="AD282" i="1"/>
  <c r="AD281" i="1"/>
  <c r="AD280" i="1"/>
  <c r="AD279" i="1"/>
  <c r="AD278" i="1"/>
  <c r="AD277" i="1"/>
  <c r="AD276" i="1"/>
  <c r="AD275" i="1"/>
  <c r="AD274" i="1"/>
  <c r="AD272" i="1"/>
  <c r="AD271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6" i="1"/>
  <c r="AD125" i="1"/>
  <c r="AD124" i="1"/>
  <c r="AD123" i="1"/>
  <c r="AD122" i="1"/>
  <c r="AD121" i="1"/>
  <c r="AD120" i="1"/>
  <c r="AD119" i="1"/>
  <c r="AD118" i="1"/>
  <c r="AD117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5" i="1"/>
  <c r="AD34" i="1"/>
  <c r="AD32" i="1"/>
  <c r="AD31" i="1"/>
  <c r="AD30" i="1"/>
  <c r="AD29" i="1"/>
  <c r="AD28" i="1"/>
  <c r="AD27" i="1"/>
  <c r="AD26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U409" i="1" l="1"/>
  <c r="U435" i="1" s="1"/>
  <c r="U436" i="1" s="1"/>
  <c r="AE101" i="1"/>
  <c r="AE333" i="1"/>
  <c r="AE323" i="1"/>
  <c r="AE322" i="1"/>
  <c r="AE321" i="1"/>
  <c r="AE319" i="1"/>
  <c r="AE318" i="1"/>
  <c r="AE316" i="1"/>
  <c r="AE315" i="1"/>
  <c r="AE313" i="1"/>
  <c r="AE312" i="1"/>
  <c r="AE311" i="1"/>
  <c r="AE283" i="1"/>
  <c r="AE281" i="1"/>
  <c r="AE280" i="1"/>
  <c r="AE279" i="1"/>
  <c r="AE277" i="1"/>
  <c r="AE276" i="1"/>
  <c r="AE275" i="1"/>
  <c r="AE274" i="1"/>
  <c r="AE271" i="1"/>
  <c r="AE197" i="1"/>
  <c r="AE195" i="1"/>
  <c r="AE194" i="1"/>
  <c r="AE193" i="1"/>
  <c r="AE192" i="1"/>
  <c r="AE191" i="1"/>
  <c r="AE190" i="1"/>
  <c r="AE189" i="1"/>
  <c r="AE188" i="1"/>
  <c r="AE187" i="1"/>
  <c r="AE186" i="1"/>
  <c r="AE178" i="1"/>
  <c r="AE175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7" i="1"/>
  <c r="AE156" i="1"/>
  <c r="AE154" i="1"/>
  <c r="AE153" i="1"/>
  <c r="AE152" i="1"/>
  <c r="AE151" i="1"/>
  <c r="AE150" i="1"/>
  <c r="AE149" i="1"/>
  <c r="AE148" i="1"/>
  <c r="AE147" i="1"/>
  <c r="AE145" i="1"/>
  <c r="AE143" i="1"/>
  <c r="AE141" i="1"/>
  <c r="AE139" i="1"/>
  <c r="AE136" i="1"/>
  <c r="AE135" i="1"/>
  <c r="AE134" i="1"/>
  <c r="AE130" i="1"/>
  <c r="AE129" i="1"/>
  <c r="AE128" i="1"/>
  <c r="AE126" i="1"/>
  <c r="AE121" i="1"/>
  <c r="AE120" i="1"/>
  <c r="AE119" i="1"/>
  <c r="AE118" i="1"/>
  <c r="AE117" i="1"/>
  <c r="AE115" i="1"/>
  <c r="AE112" i="1"/>
  <c r="AE109" i="1"/>
  <c r="AE108" i="1"/>
  <c r="AE106" i="1"/>
  <c r="AE105" i="1"/>
  <c r="AE104" i="1"/>
  <c r="AE103" i="1"/>
  <c r="AE100" i="1"/>
  <c r="AE99" i="1"/>
  <c r="AE98" i="1"/>
  <c r="AE97" i="1"/>
  <c r="AE96" i="1"/>
  <c r="AE90" i="1"/>
  <c r="AE87" i="1"/>
  <c r="AE81" i="1"/>
  <c r="AE80" i="1"/>
  <c r="AE79" i="1"/>
  <c r="AE75" i="1"/>
  <c r="AE74" i="1"/>
  <c r="AE73" i="1"/>
  <c r="AE72" i="1"/>
  <c r="AE71" i="1"/>
  <c r="AE69" i="1"/>
  <c r="AE68" i="1"/>
  <c r="AE67" i="1"/>
  <c r="AE66" i="1"/>
  <c r="AE65" i="1"/>
  <c r="AE64" i="1"/>
  <c r="AE63" i="1"/>
  <c r="AE61" i="1"/>
  <c r="AE59" i="1"/>
  <c r="AE58" i="1"/>
  <c r="AE56" i="1"/>
  <c r="AE54" i="1"/>
  <c r="AE53" i="1"/>
  <c r="AE49" i="1"/>
  <c r="AE47" i="1"/>
  <c r="AE45" i="1"/>
  <c r="AE44" i="1"/>
  <c r="AE37" i="1"/>
  <c r="AE35" i="1"/>
  <c r="AE32" i="1"/>
  <c r="AE28" i="1"/>
  <c r="AE24" i="1"/>
  <c r="AE21" i="1"/>
  <c r="AE16" i="1"/>
  <c r="AE15" i="1"/>
  <c r="AE14" i="1"/>
  <c r="AE34" i="1"/>
  <c r="AE60" i="1"/>
  <c r="AE107" i="1"/>
  <c r="AE88" i="1"/>
  <c r="AE40" i="1" l="1"/>
  <c r="AE30" i="1"/>
  <c r="AE42" i="1"/>
  <c r="AE19" i="1"/>
  <c r="AE132" i="1"/>
  <c r="AE133" i="1"/>
  <c r="AE50" i="1"/>
  <c r="AE122" i="1"/>
  <c r="AE320" i="1"/>
  <c r="AE180" i="1"/>
  <c r="AE62" i="1"/>
  <c r="AE77" i="1"/>
  <c r="AE146" i="1"/>
  <c r="AE57" i="1"/>
  <c r="AE114" i="1"/>
  <c r="AE18" i="1"/>
  <c r="AE110" i="1"/>
  <c r="AE94" i="1"/>
  <c r="AE76" i="1"/>
  <c r="AE282" i="1"/>
  <c r="AE29" i="1"/>
  <c r="AE84" i="1"/>
  <c r="AE159" i="1"/>
  <c r="AE46" i="1"/>
  <c r="AE95" i="1"/>
  <c r="AE51" i="1"/>
  <c r="AE125" i="1"/>
  <c r="AE181" i="1"/>
  <c r="AE26" i="1"/>
  <c r="AE52" i="1"/>
  <c r="AE179" i="1"/>
  <c r="AE48" i="1"/>
  <c r="AE182" i="1"/>
  <c r="AE83" i="1"/>
  <c r="AE184" i="1"/>
  <c r="AE183" i="1"/>
  <c r="AE131" i="1"/>
  <c r="AE142" i="1"/>
  <c r="AE55" i="1"/>
  <c r="AE17" i="1"/>
  <c r="AE20" i="1"/>
  <c r="AE113" i="1"/>
  <c r="AE38" i="1"/>
  <c r="AE41" i="1"/>
  <c r="AE138" i="1"/>
  <c r="AE23" i="1"/>
  <c r="AE78" i="1"/>
  <c r="AE155" i="1"/>
  <c r="AE43" i="1"/>
  <c r="AE91" i="1"/>
  <c r="AE140" i="1"/>
  <c r="AE174" i="1"/>
  <c r="AE70" i="1"/>
  <c r="AE185" i="1" l="1"/>
  <c r="AE31" i="1"/>
  <c r="AE39" i="1"/>
  <c r="AE137" i="1"/>
  <c r="AE85" i="1"/>
  <c r="AE27" i="1"/>
  <c r="AE89" i="1"/>
  <c r="AE111" i="1"/>
  <c r="AE86" i="1"/>
  <c r="AE278" i="1" l="1"/>
  <c r="AE272" i="1"/>
  <c r="V409" i="1" l="1"/>
  <c r="V435" i="1" s="1"/>
  <c r="V436" i="1" s="1"/>
  <c r="C383" i="1"/>
  <c r="AE144" i="1"/>
  <c r="AE12" i="1"/>
  <c r="AE10" i="1"/>
  <c r="AE5" i="1"/>
  <c r="U410" i="1" l="1"/>
  <c r="V433" i="1" s="1"/>
  <c r="AC383" i="1"/>
  <c r="AE13" i="1"/>
  <c r="AE176" i="1" l="1"/>
  <c r="AE173" i="1" l="1"/>
  <c r="AE82" i="1"/>
  <c r="AE314" i="1"/>
  <c r="AE22" i="1"/>
  <c r="AE8" i="1" l="1"/>
  <c r="AE196" i="1"/>
  <c r="AE11" i="1"/>
  <c r="AE9" i="1" l="1"/>
  <c r="I2" i="2" l="1"/>
  <c r="E9" i="2" l="1"/>
  <c r="AA9" i="2" s="1"/>
  <c r="E8" i="2"/>
  <c r="AA8" i="2" s="1"/>
  <c r="E10" i="2"/>
  <c r="AA10" i="2" s="1"/>
  <c r="E6" i="2" l="1"/>
  <c r="AA6" i="2" s="1"/>
  <c r="E62" i="2" l="1"/>
  <c r="AA62" i="2" s="1"/>
  <c r="E63" i="2"/>
  <c r="AA63" i="2" s="1"/>
  <c r="AN5" i="1"/>
  <c r="AB4" i="1" l="1"/>
  <c r="AE4" i="1" l="1"/>
  <c r="E65" i="2" l="1"/>
  <c r="AA65" i="2" s="1"/>
  <c r="E46" i="2" l="1"/>
  <c r="AA46" i="2" s="1"/>
  <c r="E49" i="2"/>
  <c r="AA49" i="2" s="1"/>
  <c r="E80" i="2" l="1"/>
  <c r="AA80" i="2" s="1"/>
  <c r="E14" i="2" l="1"/>
  <c r="AA14" i="2" s="1"/>
  <c r="E26" i="2" l="1"/>
  <c r="AA26" i="2" s="1"/>
  <c r="E60" i="2" l="1"/>
  <c r="AA60" i="2" s="1"/>
  <c r="E61" i="2"/>
  <c r="AA61" i="2" s="1"/>
  <c r="E64" i="2" l="1"/>
  <c r="AA64" i="2" s="1"/>
  <c r="E67" i="2"/>
  <c r="AA67" i="2" s="1"/>
  <c r="E35" i="2" l="1"/>
  <c r="AA35" i="2" s="1"/>
  <c r="E34" i="2"/>
  <c r="AA34" i="2" s="1"/>
  <c r="E36" i="2" l="1"/>
  <c r="AA36" i="2" s="1"/>
  <c r="E7" i="2" l="1"/>
  <c r="AA7" i="2" s="1"/>
  <c r="E56" i="2" l="1"/>
  <c r="AA56" i="2" s="1"/>
  <c r="E25" i="2" l="1"/>
  <c r="AA25" i="2" s="1"/>
  <c r="E23" i="2"/>
  <c r="AA23" i="2" s="1"/>
  <c r="F77" i="2" l="1"/>
  <c r="L2" i="2"/>
  <c r="O94" i="2" l="1"/>
  <c r="Q94" i="2"/>
  <c r="P94" i="2"/>
  <c r="F94" i="2"/>
  <c r="G94" i="2"/>
  <c r="T94" i="2"/>
  <c r="U94" i="2"/>
  <c r="J94" i="2"/>
  <c r="V94" i="2"/>
  <c r="K94" i="2"/>
  <c r="W94" i="2"/>
  <c r="R94" i="2"/>
  <c r="S94" i="2"/>
  <c r="H94" i="2"/>
  <c r="X94" i="2"/>
  <c r="M94" i="2"/>
  <c r="Y94" i="2"/>
  <c r="I94" i="2"/>
  <c r="L94" i="2"/>
  <c r="N94" i="2"/>
  <c r="Z94" i="2"/>
  <c r="E51" i="2"/>
  <c r="AA51" i="2" s="1"/>
  <c r="E11" i="2"/>
  <c r="AA11" i="2" s="1"/>
  <c r="E66" i="2"/>
  <c r="AA66" i="2" s="1"/>
  <c r="E31" i="2"/>
  <c r="AA31" i="2" s="1"/>
  <c r="E20" i="2"/>
  <c r="AA20" i="2" s="1"/>
  <c r="E38" i="2"/>
  <c r="AA38" i="2" s="1"/>
  <c r="E28" i="2"/>
  <c r="AA28" i="2" s="1"/>
  <c r="E30" i="2"/>
  <c r="AA30" i="2" s="1"/>
  <c r="E37" i="2"/>
  <c r="AA37" i="2" s="1"/>
  <c r="E70" i="2"/>
  <c r="AA70" i="2" s="1"/>
  <c r="E41" i="2"/>
  <c r="AA41" i="2" s="1"/>
  <c r="E39" i="2"/>
  <c r="AA39" i="2" s="1"/>
  <c r="E40" i="2"/>
  <c r="AA40" i="2" s="1"/>
  <c r="E12" i="2"/>
  <c r="AA12" i="2" s="1"/>
  <c r="E44" i="2"/>
  <c r="AA44" i="2" s="1"/>
  <c r="E13" i="2"/>
  <c r="AA13" i="2" s="1"/>
  <c r="E43" i="2"/>
  <c r="AA43" i="2" s="1"/>
  <c r="E15" i="2"/>
  <c r="AA15" i="2" s="1"/>
  <c r="E92" i="2"/>
  <c r="AA92" i="2" s="1"/>
  <c r="E18" i="2"/>
  <c r="AA18" i="2" s="1"/>
  <c r="E58" i="2"/>
  <c r="AA58" i="2" s="1"/>
  <c r="E68" i="2"/>
  <c r="AA68" i="2" s="1"/>
  <c r="E19" i="2"/>
  <c r="AA19" i="2" s="1"/>
  <c r="E42" i="2"/>
  <c r="AA42" i="2" s="1"/>
  <c r="E57" i="2"/>
  <c r="AA57" i="2" s="1"/>
  <c r="E45" i="2"/>
  <c r="AA45" i="2" s="1"/>
  <c r="E69" i="2"/>
  <c r="AA69" i="2" s="1"/>
  <c r="E27" i="2"/>
  <c r="AA27" i="2" s="1"/>
  <c r="E47" i="2"/>
  <c r="AA47" i="2" s="1"/>
  <c r="E48" i="2"/>
  <c r="AA48" i="2" s="1"/>
  <c r="E50" i="2"/>
  <c r="AA50" i="2" s="1"/>
  <c r="E72" i="2"/>
  <c r="AA72" i="2" s="1"/>
  <c r="E24" i="2"/>
  <c r="AA24" i="2" s="1"/>
  <c r="E90" i="2"/>
  <c r="AA90" i="2" s="1"/>
  <c r="E89" i="2"/>
  <c r="AA89" i="2" s="1"/>
  <c r="E84" i="2"/>
  <c r="AA84" i="2" s="1"/>
  <c r="E87" i="2"/>
  <c r="AA87" i="2" s="1"/>
  <c r="E93" i="2"/>
  <c r="AA93" i="2" s="1"/>
  <c r="E91" i="2"/>
  <c r="AA91" i="2" s="1"/>
  <c r="E88" i="2"/>
  <c r="AA88" i="2" s="1"/>
  <c r="E85" i="2"/>
  <c r="AA85" i="2" s="1"/>
  <c r="E83" i="2"/>
  <c r="AA83" i="2" s="1"/>
  <c r="L77" i="2"/>
  <c r="O2" i="2"/>
  <c r="O77" i="2" s="1"/>
  <c r="I77" i="2"/>
  <c r="E59" i="2" l="1"/>
  <c r="AA59" i="2" s="1"/>
  <c r="E82" i="2"/>
  <c r="AA82" i="2" s="1"/>
  <c r="O95" i="2"/>
  <c r="U95" i="2"/>
  <c r="R2" i="2"/>
  <c r="R77" i="2" s="1"/>
  <c r="Q73" i="2"/>
  <c r="W73" i="2"/>
  <c r="Z73" i="2"/>
  <c r="X73" i="2"/>
  <c r="T73" i="2"/>
  <c r="V73" i="2"/>
  <c r="Y73" i="2"/>
  <c r="R95" i="2"/>
  <c r="X95" i="2"/>
  <c r="L95" i="2"/>
  <c r="E81" i="2"/>
  <c r="AA81" i="2" s="1"/>
  <c r="E5" i="2"/>
  <c r="AA5" i="2" s="1"/>
  <c r="E94" i="2" l="1"/>
  <c r="AA94" i="2" s="1"/>
  <c r="U2" i="2"/>
  <c r="U77" i="2" s="1"/>
  <c r="X74" i="2"/>
  <c r="Y97" i="2" s="1"/>
  <c r="F95" i="2"/>
  <c r="I95" i="2"/>
  <c r="K73" i="2"/>
  <c r="O73" i="2"/>
  <c r="X2" i="2" l="1"/>
  <c r="X77" i="2" s="1"/>
  <c r="L73" i="2" l="1"/>
  <c r="M73" i="2" l="1"/>
  <c r="E52" i="2" l="1"/>
  <c r="AA52" i="2" s="1"/>
  <c r="E53" i="2" l="1"/>
  <c r="AA53" i="2" s="1"/>
  <c r="E21" i="2" l="1"/>
  <c r="AA21" i="2" s="1"/>
  <c r="E54" i="2" l="1"/>
  <c r="AA54" i="2" s="1"/>
  <c r="F73" i="2" l="1"/>
  <c r="G73" i="2" l="1"/>
  <c r="E16" i="2" l="1"/>
  <c r="AA16" i="2" s="1"/>
  <c r="E71" i="2" l="1"/>
  <c r="AA71" i="2" s="1"/>
  <c r="N73" i="2"/>
  <c r="L74" i="2" s="1"/>
  <c r="M97" i="2" s="1"/>
  <c r="U73" i="2" l="1"/>
  <c r="U74" i="2" s="1"/>
  <c r="V97" i="2" s="1"/>
  <c r="AE7" i="1" l="1"/>
  <c r="AE6" i="1" l="1"/>
  <c r="H73" i="2"/>
  <c r="F74" i="2" s="1"/>
  <c r="G97" i="2" s="1"/>
  <c r="G98" i="2" s="1"/>
  <c r="E17" i="2"/>
  <c r="AA17" i="2" s="1"/>
  <c r="S73" i="2" l="1"/>
  <c r="AE93" i="1" l="1"/>
  <c r="P73" i="2"/>
  <c r="O74" i="2" s="1"/>
  <c r="P97" i="2" s="1"/>
  <c r="AE92" i="1"/>
  <c r="R73" i="2" l="1"/>
  <c r="R74" i="2" s="1"/>
  <c r="S97" i="2" s="1"/>
  <c r="E29" i="2"/>
  <c r="AA29" i="2" s="1"/>
  <c r="AE317" i="1" l="1"/>
  <c r="J73" i="2"/>
  <c r="E22" i="2" l="1"/>
  <c r="AA22" i="2" s="1"/>
  <c r="I391" i="1" l="1"/>
  <c r="C391" i="1" s="1"/>
  <c r="C409" i="1" s="1"/>
  <c r="AB123" i="1"/>
  <c r="AE123" i="1" s="1"/>
  <c r="AB124" i="1"/>
  <c r="I334" i="1" l="1"/>
  <c r="AB334" i="1" s="1"/>
  <c r="AE124" i="1"/>
  <c r="I409" i="1"/>
  <c r="I410" i="1" s="1"/>
  <c r="J433" i="1" s="1"/>
  <c r="AA433" i="1" s="1"/>
  <c r="AC391" i="1"/>
  <c r="AC409" i="1"/>
  <c r="I435" i="1" l="1"/>
  <c r="I436" i="1" s="1"/>
  <c r="AB433" i="1"/>
  <c r="I73" i="2"/>
  <c r="I74" i="2" s="1"/>
  <c r="J97" i="2" s="1"/>
  <c r="J98" i="2" s="1"/>
  <c r="M98" i="2" s="1"/>
  <c r="P98" i="2" s="1"/>
  <c r="S98" i="2" s="1"/>
  <c r="V98" i="2" s="1"/>
  <c r="Y98" i="2" s="1"/>
  <c r="E55" i="2"/>
  <c r="E73" i="2" l="1"/>
  <c r="AA73" i="2" s="1"/>
  <c r="AA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tc={FB88833A-7715-4A0F-A740-351C632DBD76}</author>
    <author>tc={B2047586-6304-4544-A60F-9ABE68FBB0B6}</author>
    <author>tc={4B5EFEEA-74A7-4504-9240-F67E4D0ABE91}</author>
    <author>tc={16C9DD7F-04E9-425C-9A06-79C39FA14D06}</author>
    <author>tc={E5F68040-94EF-445D-8D82-53FB6996DE48}</author>
    <author>tc={BC51C555-2AD5-4066-ABAA-E3B592EF1386}</author>
    <author>tc={49172C87-2CC3-48FD-A326-33882DA804CF}</author>
    <author>tc={2211C097-99F2-4DD4-A71F-EDF711F63690}</author>
    <author>tc={242327E1-5631-474A-AFF9-09594B7F50F6}</author>
    <author>tc={16981FF1-4572-4348-BC3D-5D11FC2FB5AA}</author>
    <author>tc={9B36929A-6C92-464C-98F8-0298E1A40BE2}</author>
    <author>tc={7B38E344-E3FB-462A-9283-A7A66E0D21A6}</author>
    <author>tc={C466E314-5CDC-45BC-98FD-FBA85F53502C}</author>
    <author>tc={9BE0569D-200D-469C-AFD8-E956546942CD}</author>
    <author>tc={95D70CD9-A8A8-495D-B41F-103A2A73D338}</author>
    <author>tc={245651B9-E8D9-4C4B-9C8D-2DFD0EF36B70}</author>
    <author>tc={409CE8D6-D5EF-4EE1-BD76-7712EADD84AE}</author>
    <author>tc={79BBBFEE-A9B3-41A7-A489-BE5C901DDF40}</author>
    <author>tc={15993055-AC01-46BC-82E9-541A69831D46}</author>
    <author>tc={E4BC0395-A4E5-4ADC-AA63-9253B6CB2854}</author>
    <author>tc={8DB33364-5B8C-46C5-85EC-30BE9A51C84B}</author>
    <author>tc={F71DC91C-0013-41C9-AAA5-C844298BBC06}</author>
    <author>tc={E4CBD9AF-8684-44C9-A207-5F46F2E5B478}</author>
  </authors>
  <commentList>
    <comment ref="F37" authorId="0" shapeId="0" xr:uid="{FB88833A-7715-4A0F-A740-351C632DBD76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TB655 H to TB670 H circular</t>
      </text>
    </comment>
    <comment ref="I37" authorId="1" shapeId="0" xr:uid="{B2047586-6304-4544-A60F-9ABE68FBB0B6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TB655 H to TB670 H circular</t>
      </text>
    </comment>
    <comment ref="L37" authorId="2" shapeId="0" xr:uid="{4B5EFEEA-74A7-4504-9240-F67E4D0ABE91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TB655 H to TB670 H circular</t>
      </text>
    </comment>
    <comment ref="O37" authorId="3" shapeId="0" xr:uid="{16C9DD7F-04E9-425C-9A06-79C39FA14D06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TB655 H to TB670 H circular</t>
      </text>
    </comment>
    <comment ref="R37" authorId="4" shapeId="0" xr:uid="{E5F68040-94EF-445D-8D82-53FB6996DE48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TB655 H to TB670 H circular</t>
      </text>
    </comment>
    <comment ref="S77" authorId="5" shapeId="0" xr:uid="{BC51C555-2AD5-4066-ABAA-E3B592EF13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OT to align with RS and limited RM - delivery will be on Aug 10</t>
      </text>
    </comment>
    <comment ref="V77" authorId="6" shapeId="0" xr:uid="{49172C87-2CC3-48FD-A326-33882DA804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Reduced OT to align with RS and limited RM - delivery will be on Aug 10</t>
      </text>
    </comment>
    <comment ref="F113" authorId="7" shapeId="0" xr:uid="{2211C097-99F2-4DD4-A71F-EDF711F63690}">
      <text>
        <t>[Threaded comment]
Your version of Excel allows you to read this threaded comment; however, any edits to it will get removed if the file is opened in a newer version of Excel. Learn more: https://go.microsoft.com/fwlink/?linkid=870924
Comment:
    18 pcs for trial run - 2 hrs. required time</t>
      </text>
    </comment>
    <comment ref="R116" authorId="8" shapeId="0" xr:uid="{242327E1-5631-474A-AFF9-09594B7F50F6}">
      <text>
        <t>[Threaded comment]
Your version of Excel allows you to read this threaded comment; however, any edits to it will get removed if the file is opened in a newer version of Excel. Learn more: https://go.microsoft.com/fwlink/?linkid=870924
Comment:
    75 pcs for trial run - 6 hours</t>
      </text>
    </comment>
    <comment ref="C117" authorId="9" shapeId="0" xr:uid="{16981FF1-4572-4348-BC3D-5D11FC2FB5A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Trial MQ200 NH</t>
      </text>
    </comment>
    <comment ref="F142" authorId="10" shapeId="0" xr:uid="{9B36929A-6C92-464C-98F8-0298E1A40BE2}">
      <text>
        <t>[Threaded comment]
Your version of Excel allows you to read this threaded comment; however, any edits to it will get removed if the file is opened in a newer version of Excel. Learn more: https://go.microsoft.com/fwlink/?linkid=870924
Comment:
    38 pcs for trial run - 6 hrs. required time</t>
      </text>
    </comment>
    <comment ref="F145" authorId="11" shapeId="0" xr:uid="{7B38E344-E3FB-462A-9283-A7A66E0D21A6}">
      <text>
        <t>[Threaded comment]
Your version of Excel allows you to read this threaded comment; however, any edits to it will get removed if the file is opened in a newer version of Excel. Learn more: https://go.microsoft.com/fwlink/?linkid=870924
Comment:
    2 hrs. required time</t>
      </text>
    </comment>
    <comment ref="F173" authorId="12" shapeId="0" xr:uid="{C466E314-5CDC-45BC-98FD-FBA85F53502C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TB55 H to TB700</t>
      </text>
    </comment>
    <comment ref="I173" authorId="13" shapeId="0" xr:uid="{9BE0569D-200D-469C-AFD8-E956546942C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TB55 H to TB700</t>
      </text>
    </comment>
    <comment ref="L173" authorId="14" shapeId="0" xr:uid="{95D70CD9-A8A8-495D-B41F-103A2A73D338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TB55 H to TB700</t>
      </text>
    </comment>
    <comment ref="O173" authorId="15" shapeId="0" xr:uid="{245651B9-E8D9-4C4B-9C8D-2DFD0EF36B7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TB55 H to TB700</t>
      </text>
    </comment>
    <comment ref="R173" authorId="16" shapeId="0" xr:uid="{409CE8D6-D5EF-4EE1-BD76-7712EADD84AE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TB55 H to TB700</t>
      </text>
    </comment>
    <comment ref="L176" authorId="17" shapeId="0" xr:uid="{79BBBFEE-A9B3-41A7-A489-BE5C901DDF40}">
      <text>
        <t>[Threaded comment]
Your version of Excel allows you to read this threaded comment; however, any edits to it will get removed if the file is opened in a newer version of Excel. Learn more: https://go.microsoft.com/fwlink/?linkid=870924
Comment:
    35 pcs for trial run - 4 hrs. required time</t>
      </text>
    </comment>
    <comment ref="F322" authorId="18" shapeId="0" xr:uid="{15993055-AC01-46BC-82E9-541A69831D46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MQ130 to TB670 NH</t>
      </text>
    </comment>
    <comment ref="I322" authorId="19" shapeId="0" xr:uid="{E4BC0395-A4E5-4ADC-AA63-9253B6CB285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MQ130 to TB670 NH</t>
      </text>
    </comment>
    <comment ref="L322" authorId="20" shapeId="0" xr:uid="{8DB33364-5B8C-46C5-85EC-30BE9A51C84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MQ130 to TB670 NH</t>
      </text>
    </comment>
    <comment ref="O322" authorId="21" shapeId="0" xr:uid="{F71DC91C-0013-41C9-AAA5-C844298BBC06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MQ130 to TB670 NH</t>
      </text>
    </comment>
    <comment ref="R322" authorId="22" shapeId="0" xr:uid="{E4CBD9AF-8684-44C9-A207-5F46F2E5B478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- MQ130 to TB670 NH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tc={62577334-6443-49A1-94D5-C4FEAF8D0FE7}</author>
  </authors>
  <commentList>
    <comment ref="E32" authorId="0" shapeId="0" xr:uid="{62577334-6443-49A1-94D5-C4FEAF8D0F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need to supply body from PU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<sst xmlns="http://schemas.openxmlformats.org/spreadsheetml/2006/main" count="1492" uniqueCount="591">
  <si>
    <t>Cell number</t>
  </si>
  <si>
    <t>Monday</t>
  </si>
  <si>
    <t>Tuesday</t>
  </si>
  <si>
    <t>Wednesday</t>
  </si>
  <si>
    <t>Thursday</t>
  </si>
  <si>
    <t>Friday</t>
  </si>
  <si>
    <t>Saturday</t>
  </si>
  <si>
    <t>Sunday</t>
  </si>
  <si>
    <t>Model</t>
  </si>
  <si>
    <t>Part #</t>
  </si>
  <si>
    <t xml:space="preserve">1st </t>
  </si>
  <si>
    <t>2nd</t>
  </si>
  <si>
    <t>3rd</t>
  </si>
  <si>
    <t>MODEL</t>
  </si>
  <si>
    <t>HG180 NH</t>
  </si>
  <si>
    <t>656765900A</t>
  </si>
  <si>
    <t>HG180 - Heater</t>
  </si>
  <si>
    <t>HG180 H</t>
  </si>
  <si>
    <t>656764800A</t>
  </si>
  <si>
    <t>Trial item</t>
  </si>
  <si>
    <t>HG240 Heater</t>
  </si>
  <si>
    <t>661787500A</t>
  </si>
  <si>
    <t>TN170 Heater</t>
  </si>
  <si>
    <t>646763200G</t>
  </si>
  <si>
    <t>TN170 H</t>
  </si>
  <si>
    <t>TN170 NH</t>
  </si>
  <si>
    <t>643602400H</t>
  </si>
  <si>
    <t>MQ150 HOD</t>
  </si>
  <si>
    <t>653630000G</t>
  </si>
  <si>
    <t>MQ150 Heater</t>
  </si>
  <si>
    <t>647618500B</t>
  </si>
  <si>
    <t>MQ150 H</t>
  </si>
  <si>
    <t>MQ150 NH</t>
  </si>
  <si>
    <t>647528200B</t>
  </si>
  <si>
    <t>TB670 Heater</t>
  </si>
  <si>
    <t>TB670 H</t>
  </si>
  <si>
    <t>TB670 NH Circular</t>
  </si>
  <si>
    <t>648622501B</t>
  </si>
  <si>
    <t>TB670 C</t>
  </si>
  <si>
    <t>648622500B</t>
  </si>
  <si>
    <t xml:space="preserve">TB670 NH Normal </t>
  </si>
  <si>
    <t>648536900B</t>
  </si>
  <si>
    <t>TB670 NH</t>
  </si>
  <si>
    <t>TB670 Heater Circular</t>
  </si>
  <si>
    <t>648622600C</t>
  </si>
  <si>
    <t>648622601C</t>
  </si>
  <si>
    <t>TB670 Heater - Red Thread</t>
  </si>
  <si>
    <t>TB670 Heater - BlACK thread</t>
  </si>
  <si>
    <t>648541000C</t>
  </si>
  <si>
    <t>TB670 NH Normal</t>
  </si>
  <si>
    <t>TB667 Heater</t>
  </si>
  <si>
    <t>661118000B</t>
  </si>
  <si>
    <t>TB667 H</t>
  </si>
  <si>
    <t>TB667 NH</t>
  </si>
  <si>
    <t>653861600A</t>
  </si>
  <si>
    <t>653861200A</t>
  </si>
  <si>
    <t>MQ170 NH</t>
  </si>
  <si>
    <t>654626700C</t>
  </si>
  <si>
    <t>654626701C</t>
  </si>
  <si>
    <t>MQ140 - JPCH</t>
  </si>
  <si>
    <t>633271000A</t>
  </si>
  <si>
    <t>MQ140</t>
  </si>
  <si>
    <t>633271003A</t>
  </si>
  <si>
    <t>MQ135 Non Heater</t>
  </si>
  <si>
    <t>638145553B</t>
  </si>
  <si>
    <t>MQ130</t>
  </si>
  <si>
    <t>MQ135 Heater</t>
  </si>
  <si>
    <t>633271052A</t>
  </si>
  <si>
    <t>MQ135 H</t>
  </si>
  <si>
    <t xml:space="preserve">MQ150 Heater </t>
  </si>
  <si>
    <t>MQ170 Heater - AMI</t>
  </si>
  <si>
    <t>654627401B</t>
  </si>
  <si>
    <t>AMI</t>
  </si>
  <si>
    <t>659434500B</t>
  </si>
  <si>
    <t>654627400B</t>
  </si>
  <si>
    <t>MQ160</t>
  </si>
  <si>
    <t>655337600B</t>
  </si>
  <si>
    <t>TN200 Heater</t>
  </si>
  <si>
    <t>657293500C</t>
  </si>
  <si>
    <t>TN200 H</t>
  </si>
  <si>
    <t>657954600B</t>
  </si>
  <si>
    <t>TN200 NH</t>
  </si>
  <si>
    <t>657954500B</t>
  </si>
  <si>
    <t>657293400B</t>
  </si>
  <si>
    <t xml:space="preserve">MQ200 Heater </t>
  </si>
  <si>
    <t>MQ200 HOD</t>
  </si>
  <si>
    <t>MQ170 Heater</t>
  </si>
  <si>
    <t>MQ170 HEATER</t>
  </si>
  <si>
    <t>HG120</t>
  </si>
  <si>
    <t>634520700C-1</t>
  </si>
  <si>
    <t>SA700</t>
  </si>
  <si>
    <t>659179802B</t>
  </si>
  <si>
    <t>659179801B</t>
  </si>
  <si>
    <t>HY010</t>
  </si>
  <si>
    <t>664215700A</t>
  </si>
  <si>
    <t>TB650 NH - ATH</t>
  </si>
  <si>
    <t>634874900F</t>
  </si>
  <si>
    <t>TB650 NH - AZJ</t>
  </si>
  <si>
    <t>MQ130 - ATH</t>
  </si>
  <si>
    <t>638145501B</t>
  </si>
  <si>
    <t>638145500B</t>
  </si>
  <si>
    <t>MQ130 - JPCH</t>
  </si>
  <si>
    <t>638145503B</t>
  </si>
  <si>
    <t>MQ130 - AID</t>
  </si>
  <si>
    <t>HG200</t>
  </si>
  <si>
    <t>653810000E</t>
  </si>
  <si>
    <t>MQ130 - AZJ</t>
  </si>
  <si>
    <t>TB667 NH - AZP</t>
  </si>
  <si>
    <t xml:space="preserve">TB655 NH </t>
  </si>
  <si>
    <t>644785400B</t>
  </si>
  <si>
    <t>SA681-A LW</t>
  </si>
  <si>
    <t>632033800E</t>
  </si>
  <si>
    <t>SA680</t>
  </si>
  <si>
    <t>SA684</t>
  </si>
  <si>
    <t>667894100A</t>
  </si>
  <si>
    <t>SA520 LW</t>
  </si>
  <si>
    <t>603661703F</t>
  </si>
  <si>
    <t>MQ040 LW</t>
  </si>
  <si>
    <t>638013700A</t>
  </si>
  <si>
    <t>MQ110</t>
  </si>
  <si>
    <t xml:space="preserve">TN200 HTR+HOD  </t>
  </si>
  <si>
    <t>661399800B</t>
  </si>
  <si>
    <t>TN200 HOD</t>
  </si>
  <si>
    <t>TN200 HTR+HOD (RED)</t>
  </si>
  <si>
    <t>661457700B</t>
  </si>
  <si>
    <t>TN200 HOD (RED)</t>
  </si>
  <si>
    <t>661457600B</t>
  </si>
  <si>
    <t>661399700B</t>
  </si>
  <si>
    <t>TN101 LW GW</t>
  </si>
  <si>
    <t>634751900E</t>
  </si>
  <si>
    <t>TN102 LW</t>
  </si>
  <si>
    <t>635163100D</t>
  </si>
  <si>
    <t>HG096 - Heater</t>
  </si>
  <si>
    <t>NB396</t>
  </si>
  <si>
    <t>628950600A</t>
  </si>
  <si>
    <t>NB480</t>
  </si>
  <si>
    <t>617698000A</t>
  </si>
  <si>
    <t>HG071 ( SP)</t>
  </si>
  <si>
    <t>617199702B</t>
  </si>
  <si>
    <t>HG070 ( SP)</t>
  </si>
  <si>
    <t>617199700B</t>
  </si>
  <si>
    <t>NB701 NH</t>
  </si>
  <si>
    <t>640334500D</t>
  </si>
  <si>
    <t>NB700 NH</t>
  </si>
  <si>
    <t>631658200H</t>
  </si>
  <si>
    <t>NB701 LW - Heater</t>
  </si>
  <si>
    <t>640334600E</t>
  </si>
  <si>
    <t>NB700 LW - Heater</t>
  </si>
  <si>
    <t>631660800K</t>
  </si>
  <si>
    <t>NB704 LW</t>
  </si>
  <si>
    <t>660578800A</t>
  </si>
  <si>
    <t>TB655 Heater</t>
  </si>
  <si>
    <t>646034600C</t>
  </si>
  <si>
    <t>646034601C</t>
  </si>
  <si>
    <t>TB650 Heater</t>
  </si>
  <si>
    <t>634882700G</t>
  </si>
  <si>
    <t>TB650 J72k Heater</t>
  </si>
  <si>
    <t>641198100C</t>
  </si>
  <si>
    <t>J72K</t>
  </si>
  <si>
    <t>TB655 NH</t>
  </si>
  <si>
    <t>644785401B</t>
  </si>
  <si>
    <t>TB700</t>
  </si>
  <si>
    <t>TB650 J72k Non Heater</t>
  </si>
  <si>
    <t>646445400B</t>
  </si>
  <si>
    <t>TB655 J72k Heater</t>
  </si>
  <si>
    <t>646035500C</t>
  </si>
  <si>
    <t>TB655 J72k Non Heater</t>
  </si>
  <si>
    <t>646397000B</t>
  </si>
  <si>
    <t xml:space="preserve">TN170 Heater </t>
  </si>
  <si>
    <t>662464700D</t>
  </si>
  <si>
    <t>RG3</t>
  </si>
  <si>
    <t>662464701D</t>
  </si>
  <si>
    <t>662464702D</t>
  </si>
  <si>
    <t>662464703D</t>
  </si>
  <si>
    <t>662464704D</t>
  </si>
  <si>
    <t>662464800D</t>
  </si>
  <si>
    <t>662464801D</t>
  </si>
  <si>
    <t>662464802D</t>
  </si>
  <si>
    <t>662464804D</t>
  </si>
  <si>
    <t>662464805E</t>
  </si>
  <si>
    <t>662464806E</t>
  </si>
  <si>
    <t xml:space="preserve">RG3 - NNB + NNB </t>
  </si>
  <si>
    <t>RG3 - ECL +ECL</t>
  </si>
  <si>
    <t>RG3 - VNB +GYA</t>
  </si>
  <si>
    <t>RG3 - ECL + IDG</t>
  </si>
  <si>
    <t>RG3 - IDG +NBD</t>
  </si>
  <si>
    <t>GN7</t>
  </si>
  <si>
    <t>666858500B</t>
  </si>
  <si>
    <t>666858502B</t>
  </si>
  <si>
    <t>666858501B</t>
  </si>
  <si>
    <t>657038300G</t>
  </si>
  <si>
    <t>657036000G</t>
  </si>
  <si>
    <t>Subaru - HOD</t>
  </si>
  <si>
    <t>647192300L</t>
  </si>
  <si>
    <t>BR010 HOD</t>
  </si>
  <si>
    <t>647192100L</t>
  </si>
  <si>
    <t>662378800A</t>
  </si>
  <si>
    <t>660244300C</t>
  </si>
  <si>
    <t>Subaru - NH</t>
  </si>
  <si>
    <t>648922400A</t>
  </si>
  <si>
    <t>BR010 NH</t>
  </si>
  <si>
    <t>Subaru - NH SPLIT BLUE</t>
  </si>
  <si>
    <t>665173400A</t>
  </si>
  <si>
    <t>666858501A</t>
  </si>
  <si>
    <t>TL01</t>
  </si>
  <si>
    <t>TL02</t>
  </si>
  <si>
    <t xml:space="preserve">MQ170 Heater </t>
  </si>
  <si>
    <t>TB655 (NH)</t>
  </si>
  <si>
    <t>TB670 NH (MQ160)</t>
  </si>
  <si>
    <t>GN7 1T Heater</t>
  </si>
  <si>
    <t>GN7 1T HOD</t>
  </si>
  <si>
    <t>GN7 2T HOD</t>
  </si>
  <si>
    <t>HG180 Non-heater</t>
  </si>
  <si>
    <t>HG180 Heater</t>
  </si>
  <si>
    <t>MQ150 Non-Heater</t>
  </si>
  <si>
    <t>MQ170 Non-heater</t>
  </si>
  <si>
    <t>MQ040</t>
  </si>
  <si>
    <t>NB700 Non-heater</t>
  </si>
  <si>
    <t>NB700 Heater</t>
  </si>
  <si>
    <t>NB704</t>
  </si>
  <si>
    <t>RG3 (Trial)</t>
  </si>
  <si>
    <t>SA520</t>
  </si>
  <si>
    <t>BR010 Non-Heater</t>
  </si>
  <si>
    <t>TB650 Non-heater</t>
  </si>
  <si>
    <t>TB655 Non-Heater</t>
  </si>
  <si>
    <t>TB667 Non-heater</t>
  </si>
  <si>
    <t>TB670 Heater Normal</t>
  </si>
  <si>
    <t>TN101 GW</t>
  </si>
  <si>
    <t>TN102 GR Heater</t>
  </si>
  <si>
    <t>TN170 Non-heater</t>
  </si>
  <si>
    <t>TN200 non-heater</t>
  </si>
  <si>
    <t>TTL</t>
  </si>
  <si>
    <t>Daily output</t>
  </si>
  <si>
    <t>Qty Total</t>
  </si>
  <si>
    <t>MQ170 Non-Heater</t>
  </si>
  <si>
    <t>TB650 NH</t>
  </si>
  <si>
    <t>Tb670 NH Normal</t>
  </si>
  <si>
    <t xml:space="preserve">Tb667 NH </t>
  </si>
  <si>
    <t>Peter Paul Eyas</t>
  </si>
  <si>
    <t>AMG1 Manager</t>
  </si>
  <si>
    <t>Ligaya Du</t>
  </si>
  <si>
    <t>Hank Asiain</t>
  </si>
  <si>
    <t>Sharon Borces</t>
  </si>
  <si>
    <t>Claudio Igot</t>
  </si>
  <si>
    <t>Cristy Estopa</t>
  </si>
  <si>
    <t>AMC1 Manager</t>
  </si>
  <si>
    <t>Plant 2 -Supervisor</t>
  </si>
  <si>
    <t>Plant 1 -Supervisor</t>
  </si>
  <si>
    <t>Ramon Lacno</t>
  </si>
  <si>
    <t>Lilibeth Cabaluna</t>
  </si>
  <si>
    <t>Judylyn Tago</t>
  </si>
  <si>
    <t>Elmer Hiyas</t>
  </si>
  <si>
    <t>Roselyn Pepito</t>
  </si>
  <si>
    <t>AMC2 Manager</t>
  </si>
  <si>
    <t>Adela Alaba</t>
  </si>
  <si>
    <t>Nolan Dimpas</t>
  </si>
  <si>
    <t>Marvin Dakay</t>
  </si>
  <si>
    <t>Maria Emilyn Arac</t>
  </si>
  <si>
    <t>AMI Representative</t>
  </si>
  <si>
    <t>Logistic Manager</t>
  </si>
  <si>
    <t>Logistic Supervisor</t>
  </si>
  <si>
    <t>Supervisor</t>
  </si>
  <si>
    <t>Serial Production</t>
  </si>
  <si>
    <t>Rev. 0</t>
  </si>
  <si>
    <t>659179800B</t>
  </si>
  <si>
    <t>647619200A</t>
  </si>
  <si>
    <t>657791800D</t>
  </si>
  <si>
    <t>656765300A baseball</t>
  </si>
  <si>
    <t>659434500C Dimple</t>
  </si>
  <si>
    <t>658875500A artificial</t>
  </si>
  <si>
    <t>656764800A baseball</t>
  </si>
  <si>
    <t>656766100A htr euro</t>
  </si>
  <si>
    <t>656765900A nh euro</t>
  </si>
  <si>
    <t>653995700B</t>
  </si>
  <si>
    <t>HY010 - grey euro</t>
  </si>
  <si>
    <t>HY010 - SU2ID baseball</t>
  </si>
  <si>
    <t>HY010 - silver euro</t>
  </si>
  <si>
    <t>HY010 - black baseball</t>
  </si>
  <si>
    <t>HY010 - red baseball</t>
  </si>
  <si>
    <t>657036002H</t>
  </si>
  <si>
    <t>MQ200NH</t>
  </si>
  <si>
    <t>MQ200 NH (Trial)</t>
  </si>
  <si>
    <t>MQ200 NH</t>
  </si>
  <si>
    <t>636973200L</t>
  </si>
  <si>
    <t>TN150 LW WD</t>
  </si>
  <si>
    <t>657036001H</t>
  </si>
  <si>
    <t>MQ200 H (Trial)</t>
  </si>
  <si>
    <t>MQ200 HOD (Trial)</t>
  </si>
  <si>
    <t>PPH</t>
  </si>
  <si>
    <t>TOTAL</t>
  </si>
  <si>
    <t>MQ170</t>
  </si>
  <si>
    <t>MQ151 HOD</t>
  </si>
  <si>
    <t>TN150</t>
  </si>
  <si>
    <t>660284300B</t>
  </si>
  <si>
    <t>664455700D</t>
  </si>
  <si>
    <t>664453300D</t>
  </si>
  <si>
    <t>TB700 HTR + HOD</t>
  </si>
  <si>
    <t>TB700 HOD</t>
  </si>
  <si>
    <t>TB700 HTR HOD</t>
  </si>
  <si>
    <t>MQ170NH</t>
  </si>
  <si>
    <t>TB655 HEATER</t>
  </si>
  <si>
    <t>638145900B</t>
  </si>
  <si>
    <t>635162900C</t>
  </si>
  <si>
    <t>643087200A</t>
  </si>
  <si>
    <t>622035000D</t>
  </si>
  <si>
    <t>HG096 NH</t>
  </si>
  <si>
    <t>HG096 Heater</t>
  </si>
  <si>
    <t>HG096 Non-heater</t>
  </si>
  <si>
    <t>649095000D</t>
  </si>
  <si>
    <t>662081800A</t>
  </si>
  <si>
    <t xml:space="preserve">643088300A </t>
  </si>
  <si>
    <t>657036000H</t>
  </si>
  <si>
    <t>638145500B ATH</t>
  </si>
  <si>
    <t>638145500B JPCH</t>
  </si>
  <si>
    <t>638145500B AID</t>
  </si>
  <si>
    <t>TN101 LW GU</t>
  </si>
  <si>
    <t>634874900F ATH</t>
  </si>
  <si>
    <t>634874900F AZJ</t>
  </si>
  <si>
    <t>MQ130 Non-Heater</t>
  </si>
  <si>
    <t>MQ130 NH</t>
  </si>
  <si>
    <t>643087300A</t>
  </si>
  <si>
    <t xml:space="preserve">MQ130 NH - JPCH </t>
  </si>
  <si>
    <t>Trial Subaru HOD</t>
  </si>
  <si>
    <t>Trial Subaru NH</t>
  </si>
  <si>
    <t>BR010 HOD Trial</t>
  </si>
  <si>
    <t>BR010 Non-Heater Trial</t>
  </si>
  <si>
    <t>638145501B JPCH</t>
  </si>
  <si>
    <t>638145501B ATH</t>
  </si>
  <si>
    <t>659179803B</t>
  </si>
  <si>
    <t>653861900A</t>
  </si>
  <si>
    <t>661413400A</t>
  </si>
  <si>
    <t>MQ132</t>
  </si>
  <si>
    <t>657721100A</t>
  </si>
  <si>
    <t>MQ132 MMPC</t>
  </si>
  <si>
    <t>654626702C</t>
  </si>
  <si>
    <t>653861800A</t>
  </si>
  <si>
    <t>647611300A</t>
  </si>
  <si>
    <t>669241500A</t>
  </si>
  <si>
    <t>Trial MQ200 H</t>
  </si>
  <si>
    <t>666857500A</t>
  </si>
  <si>
    <t>666857501A</t>
  </si>
  <si>
    <t>666857502A</t>
  </si>
  <si>
    <t>666857503A</t>
  </si>
  <si>
    <t>659434400C Dimple</t>
  </si>
  <si>
    <t>648922401A</t>
  </si>
  <si>
    <t>657038901N</t>
  </si>
  <si>
    <t>657038902N</t>
  </si>
  <si>
    <t>657038900N</t>
  </si>
  <si>
    <t>648536900B Training</t>
  </si>
  <si>
    <t>666858803B</t>
  </si>
  <si>
    <t>GN7 FL</t>
  </si>
  <si>
    <t>667947100A htr baseball</t>
  </si>
  <si>
    <t>667947101A htr baseball</t>
  </si>
  <si>
    <t>7.5hrs</t>
  </si>
  <si>
    <t>3.75hrs</t>
  </si>
  <si>
    <t>648630400M</t>
  </si>
  <si>
    <t>21/19</t>
  </si>
  <si>
    <t>Hours</t>
  </si>
  <si>
    <t>HG182 - Heater</t>
  </si>
  <si>
    <t>659434900C Dimple</t>
  </si>
  <si>
    <t>Plant 2 Capacity</t>
  </si>
  <si>
    <t>5 DAYS</t>
  </si>
  <si>
    <t>6 DAYS</t>
  </si>
  <si>
    <t>REMARKS</t>
  </si>
  <si>
    <t>TB670 Heater - Black thread</t>
  </si>
  <si>
    <t>combined</t>
  </si>
  <si>
    <t>657038000L</t>
  </si>
  <si>
    <t>657038002L</t>
  </si>
  <si>
    <t>657038003L</t>
  </si>
  <si>
    <t>662464601H</t>
  </si>
  <si>
    <t>662464600H</t>
  </si>
  <si>
    <t>662464602H</t>
  </si>
  <si>
    <t>662464603H</t>
  </si>
  <si>
    <t>662464604H</t>
  </si>
  <si>
    <t>657038001L</t>
  </si>
  <si>
    <t>TM64W Heater</t>
  </si>
  <si>
    <t>Trial TM64W H</t>
  </si>
  <si>
    <t>TM64W NH</t>
  </si>
  <si>
    <t>Trial TM64W NH</t>
  </si>
  <si>
    <t xml:space="preserve"> </t>
  </si>
  <si>
    <t>670168700A</t>
  </si>
  <si>
    <t>670168400A</t>
  </si>
  <si>
    <t>total</t>
  </si>
  <si>
    <t>snack break</t>
  </si>
  <si>
    <t>THBRW NH</t>
  </si>
  <si>
    <t>THBRW H</t>
  </si>
  <si>
    <t>Trial THBRW NH</t>
  </si>
  <si>
    <t>Trial THBRW H</t>
  </si>
  <si>
    <t>5Q00</t>
  </si>
  <si>
    <t>Trial 5Q00</t>
  </si>
  <si>
    <t>657038302H</t>
  </si>
  <si>
    <t>14/13</t>
  </si>
  <si>
    <t>TB667 Heater Silver Thread</t>
  </si>
  <si>
    <t>670199600A</t>
  </si>
  <si>
    <t>670199400A</t>
  </si>
  <si>
    <t>TB667 NH Silver Thread</t>
  </si>
  <si>
    <t>TB667 Heater Silver Thread SP Kit</t>
  </si>
  <si>
    <t>TB667 NH Silver Thread SP Kit</t>
  </si>
  <si>
    <t>662464605H</t>
  </si>
  <si>
    <t>662464606H</t>
  </si>
  <si>
    <t>GN7 FL 1T NH</t>
  </si>
  <si>
    <t>GN7 FL 1T HOD</t>
  </si>
  <si>
    <t>GN7 FL 2T HOD</t>
  </si>
  <si>
    <t>660284200A</t>
  </si>
  <si>
    <t>669586600F</t>
  </si>
  <si>
    <t>669586601F</t>
  </si>
  <si>
    <t>669586602F</t>
  </si>
  <si>
    <t>669586603F</t>
  </si>
  <si>
    <t>669733500F</t>
  </si>
  <si>
    <t>669733501F</t>
  </si>
  <si>
    <t>669733600F</t>
  </si>
  <si>
    <t>669733601F</t>
  </si>
  <si>
    <t>669733800F</t>
  </si>
  <si>
    <t>669733801F</t>
  </si>
  <si>
    <t>669733900G</t>
  </si>
  <si>
    <t>669733901G</t>
  </si>
  <si>
    <t>669733902G</t>
  </si>
  <si>
    <t>669733903G</t>
  </si>
  <si>
    <t>J00A</t>
  </si>
  <si>
    <t>Trial J00A</t>
  </si>
  <si>
    <t>669124800A/669120600A</t>
  </si>
  <si>
    <t>647528202B</t>
  </si>
  <si>
    <t>647611302A</t>
  </si>
  <si>
    <t>647618502B</t>
  </si>
  <si>
    <t>647619202A</t>
  </si>
  <si>
    <t>662081802A</t>
  </si>
  <si>
    <t>662081801A</t>
  </si>
  <si>
    <t>647618501B</t>
  </si>
  <si>
    <t>647528201B</t>
  </si>
  <si>
    <t>GN7 FL 2T+HOD+Htr NNB - NNB</t>
  </si>
  <si>
    <t>GN7 FL 2T+HOD+Htr YUB</t>
  </si>
  <si>
    <t>GN7 FL 2T+HOD+Htr MDE</t>
  </si>
  <si>
    <t>GN7 FL 2T+HOD+Htr VKN</t>
  </si>
  <si>
    <t>GN7 FL 2T+HOD+(MT)NNB</t>
  </si>
  <si>
    <t>GN7 FL 2T+HOD+(MT)YUB</t>
  </si>
  <si>
    <t>GN7 FL 2T+HOD+(MT)2MD</t>
  </si>
  <si>
    <t>GN7 FL 2T+HOD+(MT)3MD</t>
  </si>
  <si>
    <t>GN7 FL 1T+Foam+(MT)NNB</t>
  </si>
  <si>
    <t>GN7 FL 1T+Foam+(MT)1MD</t>
  </si>
  <si>
    <t>GN7 FL 1T+HOD+(MT)NNB</t>
  </si>
  <si>
    <t>GN7 FL 1T+HOD+(MT)1MD</t>
  </si>
  <si>
    <t>GN7 FL 1T+HOD+Htd+(MT)NNB</t>
  </si>
  <si>
    <t>GN7 FL 1T+HOD+Htd+(MT) MDE</t>
  </si>
  <si>
    <t>660284400A</t>
  </si>
  <si>
    <t>Shifting Schedule</t>
  </si>
  <si>
    <t>TB670 NH Circular - black/black</t>
  </si>
  <si>
    <t>Pallet</t>
  </si>
  <si>
    <t>trial</t>
  </si>
  <si>
    <t>SNP</t>
  </si>
  <si>
    <t>666858800C</t>
  </si>
  <si>
    <t>compressed</t>
  </si>
  <si>
    <t>9hrs</t>
  </si>
  <si>
    <t>regular working time</t>
  </si>
  <si>
    <t>6 days work week</t>
  </si>
  <si>
    <t>max OT hrs</t>
  </si>
  <si>
    <t>total work hrs</t>
  </si>
  <si>
    <t>660284302B</t>
  </si>
  <si>
    <t>10/11</t>
  </si>
  <si>
    <t>647528350A</t>
  </si>
  <si>
    <t>TN170 NH - Dimple</t>
  </si>
  <si>
    <t>659434400C</t>
  </si>
  <si>
    <t>TB670 Heater (Service Kit - Gray Thread)</t>
  </si>
  <si>
    <t>TB670 Heater (Service Kit - Black Thread)</t>
  </si>
  <si>
    <t>TB670 Heater (Gray Thread)</t>
  </si>
  <si>
    <t>655198200M Dimple</t>
  </si>
  <si>
    <t>TB667 Heater - SP KIT</t>
  </si>
  <si>
    <t>TB700 or TB670?</t>
  </si>
  <si>
    <t>MQ - SA681</t>
  </si>
  <si>
    <t>MQ - SA684</t>
  </si>
  <si>
    <t>667272900A</t>
  </si>
  <si>
    <t>training</t>
  </si>
  <si>
    <t>GN7 2T HOD  VKN+YGU</t>
  </si>
  <si>
    <t>GN7 2T HOD  NNB+NNB</t>
  </si>
  <si>
    <t>GN7 2T HOD MDE+ZHB</t>
  </si>
  <si>
    <t>GN7 2T HOD  VKN+MDE</t>
  </si>
  <si>
    <t>GN7 1T HOD VKN</t>
  </si>
  <si>
    <t>GN7 1T HOD YGN</t>
  </si>
  <si>
    <t>GN7 1T HOD  NNB</t>
  </si>
  <si>
    <t>GN7 1T HOD only YGN</t>
  </si>
  <si>
    <t>GN7 2T HOD NNB</t>
  </si>
  <si>
    <t>GN7 2T HOD only ZHB</t>
  </si>
  <si>
    <t>GN7 2T HOD only YGU</t>
  </si>
  <si>
    <t>GN7 2T HOD only MDE</t>
  </si>
  <si>
    <t>GN7 1T H NNB</t>
  </si>
  <si>
    <t>GN7 2T HOD MDE+VKN</t>
  </si>
  <si>
    <t>GN7 1T  H VKN</t>
  </si>
  <si>
    <t>GN7 1T LW</t>
  </si>
  <si>
    <t>GN7 1T NNB</t>
  </si>
  <si>
    <t>GN7 1T H YGN</t>
  </si>
  <si>
    <t>GN7 1T H VKN</t>
  </si>
  <si>
    <t>RG3 - NNB-NNB</t>
  </si>
  <si>
    <t>RG3 - VNB-GYA</t>
  </si>
  <si>
    <t>RG3 - IDG-NBD</t>
  </si>
  <si>
    <t>RG3 - ECL-IDG</t>
  </si>
  <si>
    <t>RG3 - ECL-ECL OLD</t>
  </si>
  <si>
    <t>RG3 - 2T+ HOD P2B</t>
  </si>
  <si>
    <t>RG3 - 2T + HOD GLW</t>
  </si>
  <si>
    <t>666858500A</t>
  </si>
  <si>
    <t>GN7 2T HOD NNB+NNB</t>
  </si>
  <si>
    <t>TM64W NH (Trial)</t>
  </si>
  <si>
    <t>TM64W Heater (Trial)</t>
  </si>
  <si>
    <t>affected by SWITCH; arrival of RM is 7/16, will be replaced by SA700 Assy - 644315700C (FA)</t>
  </si>
  <si>
    <t>647192300M</t>
  </si>
  <si>
    <t>648541000D</t>
  </si>
  <si>
    <t>668915300A</t>
  </si>
  <si>
    <t>662082150A</t>
  </si>
  <si>
    <t>TB700 SP Kit HTR + HOD</t>
  </si>
  <si>
    <t>MQ150 NH - AZP - with emboss</t>
  </si>
  <si>
    <t>MQ150 HOD - with emboss</t>
  </si>
  <si>
    <t>MQ150 Heater w/out dimple - w/o emboss</t>
  </si>
  <si>
    <t>MQ150 NH - with emboss</t>
  </si>
  <si>
    <t>MQ150 NH - w/o emboss</t>
  </si>
  <si>
    <t>MQ150 NH w/out dimple - w/o emboss</t>
  </si>
  <si>
    <t>MQ150 Heater - w/o emboss</t>
  </si>
  <si>
    <t>MQ150 Heater - with emboss</t>
  </si>
  <si>
    <t>648541001D</t>
  </si>
  <si>
    <t>RG3 - 2T+ HOD + Heater - GLW GYA</t>
  </si>
  <si>
    <t>RG3 - 2T+ HOD + Heater - P2B</t>
  </si>
  <si>
    <t>662464803F</t>
  </si>
  <si>
    <t>648541002D</t>
  </si>
  <si>
    <t>662464608H</t>
  </si>
  <si>
    <t>662464607H</t>
  </si>
  <si>
    <t>662464609H</t>
  </si>
  <si>
    <t>662464807G</t>
  </si>
  <si>
    <t>Trial Run - RG3 - HOD-NX4</t>
  </si>
  <si>
    <t>Trial Run - RG3 - HOD - GEZ,NNB</t>
  </si>
  <si>
    <t>Trial Run - RG3 - HOD+Htr - GEZ,NNB</t>
  </si>
  <si>
    <t>Trial Rum - RG3 - HOD+Htr - NX4,BZM,GYA</t>
  </si>
  <si>
    <t>MQ151 HOD - with emboss</t>
  </si>
  <si>
    <t>MQ151 HOD w/out dimple - w/o emboss</t>
  </si>
  <si>
    <t>TB667 NH - AMI</t>
  </si>
  <si>
    <t>WEEK-33</t>
  </si>
  <si>
    <t>reduce qty - RM issue</t>
  </si>
  <si>
    <t>657040000G</t>
  </si>
  <si>
    <t>PU Body PN</t>
  </si>
  <si>
    <t>660578600E</t>
  </si>
  <si>
    <t>657039500G</t>
  </si>
  <si>
    <t>669734000F</t>
  </si>
  <si>
    <t>669586700F</t>
  </si>
  <si>
    <t>617233600B</t>
  </si>
  <si>
    <t>623059000A</t>
  </si>
  <si>
    <t>622034900B</t>
  </si>
  <si>
    <t>629800500D</t>
  </si>
  <si>
    <t>656764500A</t>
  </si>
  <si>
    <t>656764600A</t>
  </si>
  <si>
    <t>653809300D</t>
  </si>
  <si>
    <t>653996100B</t>
  </si>
  <si>
    <t>621896000D</t>
  </si>
  <si>
    <t>630921700B</t>
  </si>
  <si>
    <t>633271100B</t>
  </si>
  <si>
    <t>662082102A</t>
  </si>
  <si>
    <t>647618602A</t>
  </si>
  <si>
    <t>652199400D</t>
  </si>
  <si>
    <t>647528302A</t>
  </si>
  <si>
    <t>655337500C</t>
  </si>
  <si>
    <t>654627600D</t>
  </si>
  <si>
    <t>654626800C</t>
  </si>
  <si>
    <t>628950600AMA</t>
  </si>
  <si>
    <t>610919300A</t>
  </si>
  <si>
    <t>604545600G</t>
  </si>
  <si>
    <t>631658000H</t>
  </si>
  <si>
    <t>631660700H</t>
  </si>
  <si>
    <t>660579000A</t>
  </si>
  <si>
    <t>662463500H</t>
  </si>
  <si>
    <t>603661800B</t>
  </si>
  <si>
    <t>631412000C</t>
  </si>
  <si>
    <t>662082200B</t>
  </si>
  <si>
    <t>647187100F</t>
  </si>
  <si>
    <t>647187000A</t>
  </si>
  <si>
    <t>634882800H</t>
  </si>
  <si>
    <t>634882300H</t>
  </si>
  <si>
    <t>646034700A</t>
  </si>
  <si>
    <t>646033700A</t>
  </si>
  <si>
    <t>670170000A</t>
  </si>
  <si>
    <t>670169600A</t>
  </si>
  <si>
    <t>648541200B</t>
  </si>
  <si>
    <t>648622801B</t>
  </si>
  <si>
    <t>650837001C</t>
  </si>
  <si>
    <t>648541902D</t>
  </si>
  <si>
    <t>664455900B</t>
  </si>
  <si>
    <t>664453400B</t>
  </si>
  <si>
    <t>627662000F</t>
  </si>
  <si>
    <t>629891600E</t>
  </si>
  <si>
    <t>636452800G</t>
  </si>
  <si>
    <t>659540400C</t>
  </si>
  <si>
    <t>657955000B</t>
  </si>
  <si>
    <t>657955200C</t>
  </si>
  <si>
    <t>657954900C</t>
  </si>
  <si>
    <t xml:space="preserve">TB667 NH </t>
  </si>
  <si>
    <t>Training AZP/ AMI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</si>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</sst>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6" formatCode="0;\-0;\-;@"/>
    <numFmt numFmtId="167" formatCode="_(* #,##0_);_(* \(#,##0\);_(* &quot;-&quot;??_);_(@_)"/>
  </numFmts>
  <fonts count="21" x14ac:knownFonts="1">
    <font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0" tint="-0.14999847407452621"/>
      <name val="Arial"/>
      <family val="2"/>
    </font>
    <font>
      <b/>
      <sz val="16"/>
      <color rgb="FFFF0000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6" fillId="0" borderId="0"/>
    <xf numFmtId="0" fontId="4" fillId="0" borderId="0">
      <alignment vertical="top"/>
    </xf>
    <xf numFmtId="43" fontId="13" fillId="0" borderId="0" applyFont="0" applyFill="0" applyBorder="0" applyAlignment="0" applyProtection="0"/>
  </cellStyleXfs>
  <cellXfs count="34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0" fontId="7" fillId="5" borderId="36" xfId="0" applyFont="1" applyFill="1" applyBorder="1" applyAlignment="1">
      <alignment vertical="top"/>
    </xf>
    <xf numFmtId="0" fontId="7" fillId="0" borderId="36" xfId="0" applyFont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0" fillId="9" borderId="36" xfId="0" applyFill="1" applyBorder="1" applyAlignment="1">
      <alignment vertical="top"/>
    </xf>
    <xf numFmtId="0" fontId="7" fillId="0" borderId="36" xfId="0" applyFont="1" applyBorder="1" applyAlignment="1">
      <alignment horizontal="left" vertical="top"/>
    </xf>
    <xf numFmtId="0" fontId="7" fillId="0" borderId="36" xfId="0" applyFont="1" applyBorder="1" applyAlignment="1">
      <alignment horizontal="left" vertical="center"/>
    </xf>
    <xf numFmtId="0" fontId="0" fillId="8" borderId="36" xfId="0" applyFill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0" fillId="11" borderId="36" xfId="0" applyFill="1" applyBorder="1" applyAlignment="1">
      <alignment vertical="top"/>
    </xf>
    <xf numFmtId="0" fontId="10" fillId="0" borderId="0" xfId="0" applyFont="1" applyAlignment="1">
      <alignment vertical="top"/>
    </xf>
    <xf numFmtId="3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1" fontId="0" fillId="10" borderId="36" xfId="0" applyNumberFormat="1" applyFill="1" applyBorder="1" applyAlignment="1">
      <alignment horizontal="center" vertical="center"/>
    </xf>
    <xf numFmtId="1" fontId="7" fillId="5" borderId="36" xfId="0" applyNumberFormat="1" applyFont="1" applyFill="1" applyBorder="1" applyAlignment="1">
      <alignment horizontal="center" vertical="center"/>
    </xf>
    <xf numFmtId="1" fontId="7" fillId="0" borderId="36" xfId="0" applyNumberFormat="1" applyFont="1" applyBorder="1" applyAlignment="1">
      <alignment horizontal="center" vertical="top"/>
    </xf>
    <xf numFmtId="1" fontId="0" fillId="8" borderId="36" xfId="0" applyNumberFormat="1" applyFill="1" applyBorder="1" applyAlignment="1">
      <alignment horizontal="center" vertical="top"/>
    </xf>
    <xf numFmtId="0" fontId="1" fillId="0" borderId="0" xfId="0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0" fillId="0" borderId="6" xfId="0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 vertical="center"/>
      <protection locked="0"/>
    </xf>
    <xf numFmtId="0" fontId="1" fillId="4" borderId="8" xfId="0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3" fontId="0" fillId="0" borderId="0" xfId="0" applyNumberForma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top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3" fontId="0" fillId="0" borderId="0" xfId="0" applyNumberFormat="1" applyAlignment="1" applyProtection="1">
      <alignment vertical="top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0" fillId="0" borderId="44" xfId="0" applyBorder="1" applyAlignment="1" applyProtection="1">
      <alignment horizontal="center" vertical="top"/>
      <protection locked="0"/>
    </xf>
    <xf numFmtId="0" fontId="4" fillId="0" borderId="44" xfId="0" applyFont="1" applyBorder="1" applyAlignment="1" applyProtection="1">
      <alignment horizontal="center" vertical="top"/>
      <protection locked="0"/>
    </xf>
    <xf numFmtId="14" fontId="3" fillId="2" borderId="35" xfId="0" applyNumberFormat="1" applyFont="1" applyFill="1" applyBorder="1" applyAlignment="1">
      <alignment horizontal="center" vertical="center"/>
    </xf>
    <xf numFmtId="14" fontId="3" fillId="2" borderId="37" xfId="0" applyNumberFormat="1" applyFont="1" applyFill="1" applyBorder="1" applyAlignment="1">
      <alignment horizontal="center" vertical="center"/>
    </xf>
    <xf numFmtId="14" fontId="3" fillId="2" borderId="39" xfId="0" applyNumberFormat="1" applyFont="1" applyFill="1" applyBorder="1" applyAlignment="1">
      <alignment horizontal="center" vertical="center"/>
    </xf>
    <xf numFmtId="0" fontId="0" fillId="5" borderId="36" xfId="0" applyFill="1" applyBorder="1" applyAlignment="1">
      <alignment vertical="top"/>
    </xf>
    <xf numFmtId="3" fontId="0" fillId="0" borderId="36" xfId="0" applyNumberFormat="1" applyBorder="1" applyAlignment="1">
      <alignment horizontal="left" vertical="top"/>
    </xf>
    <xf numFmtId="3" fontId="7" fillId="0" borderId="36" xfId="0" applyNumberFormat="1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0" fillId="0" borderId="36" xfId="0" applyBorder="1" applyAlignment="1">
      <alignment vertical="top"/>
    </xf>
    <xf numFmtId="0" fontId="0" fillId="0" borderId="36" xfId="0" applyBorder="1" applyAlignment="1">
      <alignment horizontal="left" vertical="top"/>
    </xf>
    <xf numFmtId="0" fontId="4" fillId="0" borderId="36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4" fillId="0" borderId="0" xfId="0" quotePrefix="1" applyFont="1" applyAlignment="1">
      <alignment vertical="top"/>
    </xf>
    <xf numFmtId="0" fontId="0" fillId="0" borderId="44" xfId="0" applyBorder="1" applyAlignment="1">
      <alignment vertical="top"/>
    </xf>
    <xf numFmtId="0" fontId="7" fillId="0" borderId="0" xfId="0" applyFont="1" applyAlignment="1">
      <alignment horizontal="center" vertical="top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3" fontId="0" fillId="0" borderId="36" xfId="0" applyNumberFormat="1" applyBorder="1" applyAlignment="1">
      <alignment horizontal="left" vertical="center"/>
    </xf>
    <xf numFmtId="0" fontId="0" fillId="8" borderId="36" xfId="0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0" borderId="36" xfId="0" applyBorder="1" applyAlignment="1">
      <alignment horizontal="left" vertical="center"/>
    </xf>
    <xf numFmtId="1" fontId="0" fillId="0" borderId="0" xfId="0" applyNumberForma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6" borderId="36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7" borderId="36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3" fontId="0" fillId="0" borderId="39" xfId="0" applyNumberFormat="1" applyBorder="1" applyAlignment="1">
      <alignment horizontal="center" vertical="center"/>
    </xf>
    <xf numFmtId="3" fontId="0" fillId="10" borderId="36" xfId="0" applyNumberFormat="1" applyFill="1" applyBorder="1" applyAlignment="1">
      <alignment horizontal="center" vertical="center"/>
    </xf>
    <xf numFmtId="0" fontId="0" fillId="0" borderId="38" xfId="0" applyBorder="1" applyAlignment="1">
      <alignment horizontal="center" vertical="top"/>
    </xf>
    <xf numFmtId="0" fontId="0" fillId="10" borderId="0" xfId="0" applyFill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8" fillId="7" borderId="45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top"/>
    </xf>
    <xf numFmtId="0" fontId="7" fillId="5" borderId="36" xfId="0" applyFont="1" applyFill="1" applyBorder="1" applyAlignment="1">
      <alignment horizontal="center" vertical="center"/>
    </xf>
    <xf numFmtId="3" fontId="0" fillId="0" borderId="0" xfId="0" applyNumberFormat="1" applyAlignment="1" applyProtection="1">
      <alignment horizontal="center" vertical="top"/>
      <protection locked="0"/>
    </xf>
    <xf numFmtId="0" fontId="15" fillId="5" borderId="36" xfId="0" applyFont="1" applyFill="1" applyBorder="1" applyAlignment="1">
      <alignment vertical="top"/>
    </xf>
    <xf numFmtId="3" fontId="0" fillId="0" borderId="0" xfId="0" applyNumberFormat="1" applyAlignment="1" applyProtection="1">
      <alignment vertical="center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16" fillId="0" borderId="15" xfId="0" applyFont="1" applyBorder="1" applyAlignment="1" applyProtection="1">
      <alignment horizontal="center" vertical="center"/>
      <protection locked="0"/>
    </xf>
    <xf numFmtId="0" fontId="16" fillId="0" borderId="27" xfId="0" applyFont="1" applyBorder="1" applyAlignment="1" applyProtection="1">
      <alignment horizontal="center" vertical="center"/>
      <protection locked="0"/>
    </xf>
    <xf numFmtId="1" fontId="16" fillId="0" borderId="15" xfId="0" applyNumberFormat="1" applyFont="1" applyBorder="1" applyAlignment="1" applyProtection="1">
      <alignment horizontal="center" vertical="center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6" fillId="0" borderId="21" xfId="0" applyFont="1" applyBorder="1" applyAlignment="1" applyProtection="1">
      <alignment horizontal="center" vertical="center"/>
      <protection locked="0"/>
    </xf>
    <xf numFmtId="0" fontId="16" fillId="0" borderId="33" xfId="0" applyFont="1" applyBorder="1" applyAlignment="1" applyProtection="1">
      <alignment horizontal="center" vertical="center"/>
      <protection locked="0"/>
    </xf>
    <xf numFmtId="0" fontId="16" fillId="0" borderId="29" xfId="0" applyFont="1" applyBorder="1" applyAlignment="1" applyProtection="1">
      <alignment horizontal="center" vertical="center"/>
      <protection locked="0"/>
    </xf>
    <xf numFmtId="0" fontId="16" fillId="0" borderId="15" xfId="0" applyFont="1" applyBorder="1" applyAlignment="1" applyProtection="1">
      <alignment horizontal="center" vertical="top"/>
      <protection locked="0"/>
    </xf>
    <xf numFmtId="0" fontId="16" fillId="0" borderId="30" xfId="0" applyFont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top"/>
      <protection locked="0"/>
    </xf>
    <xf numFmtId="0" fontId="0" fillId="0" borderId="33" xfId="0" applyBorder="1" applyAlignment="1">
      <alignment vertical="center" wrapText="1"/>
    </xf>
    <xf numFmtId="0" fontId="0" fillId="0" borderId="24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0" xfId="0" applyBorder="1" applyAlignment="1" applyProtection="1">
      <alignment horizontal="center" vertical="center"/>
      <protection locked="0"/>
    </xf>
    <xf numFmtId="0" fontId="16" fillId="14" borderId="11" xfId="0" applyFont="1" applyFill="1" applyBorder="1" applyAlignment="1" applyProtection="1">
      <alignment horizontal="center" vertical="center"/>
      <protection locked="0"/>
    </xf>
    <xf numFmtId="0" fontId="16" fillId="14" borderId="12" xfId="0" applyFont="1" applyFill="1" applyBorder="1" applyAlignment="1" applyProtection="1">
      <alignment horizontal="center" vertical="center"/>
      <protection locked="0"/>
    </xf>
    <xf numFmtId="0" fontId="16" fillId="14" borderId="27" xfId="0" applyFont="1" applyFill="1" applyBorder="1" applyAlignment="1" applyProtection="1">
      <alignment horizontal="center" vertical="center"/>
      <protection locked="0"/>
    </xf>
    <xf numFmtId="0" fontId="16" fillId="14" borderId="28" xfId="0" applyFont="1" applyFill="1" applyBorder="1" applyAlignment="1" applyProtection="1">
      <alignment horizontal="center" vertical="center"/>
      <protection locked="0"/>
    </xf>
    <xf numFmtId="0" fontId="16" fillId="14" borderId="15" xfId="0" applyFont="1" applyFill="1" applyBorder="1" applyAlignment="1" applyProtection="1">
      <alignment horizontal="center" vertical="center"/>
      <protection locked="0"/>
    </xf>
    <xf numFmtId="0" fontId="16" fillId="14" borderId="16" xfId="0" applyFont="1" applyFill="1" applyBorder="1" applyAlignment="1" applyProtection="1">
      <alignment horizontal="center" vertical="center"/>
      <protection locked="0"/>
    </xf>
    <xf numFmtId="0" fontId="16" fillId="14" borderId="18" xfId="0" applyFont="1" applyFill="1" applyBorder="1" applyAlignment="1" applyProtection="1">
      <alignment horizontal="center" vertical="center"/>
      <protection locked="0"/>
    </xf>
    <xf numFmtId="0" fontId="16" fillId="14" borderId="19" xfId="0" applyFont="1" applyFill="1" applyBorder="1" applyAlignment="1" applyProtection="1">
      <alignment horizontal="center" vertical="center"/>
      <protection locked="0"/>
    </xf>
    <xf numFmtId="0" fontId="16" fillId="14" borderId="24" xfId="0" applyFont="1" applyFill="1" applyBorder="1" applyAlignment="1" applyProtection="1">
      <alignment horizontal="center" vertical="center"/>
      <protection locked="0"/>
    </xf>
    <xf numFmtId="0" fontId="16" fillId="14" borderId="25" xfId="0" applyFont="1" applyFill="1" applyBorder="1" applyAlignment="1" applyProtection="1">
      <alignment horizontal="center" vertical="center"/>
      <protection locked="0"/>
    </xf>
    <xf numFmtId="0" fontId="16" fillId="14" borderId="21" xfId="0" applyFont="1" applyFill="1" applyBorder="1" applyAlignment="1" applyProtection="1">
      <alignment horizontal="center" vertical="center"/>
      <protection locked="0"/>
    </xf>
    <xf numFmtId="0" fontId="16" fillId="14" borderId="22" xfId="0" applyFont="1" applyFill="1" applyBorder="1" applyAlignment="1" applyProtection="1">
      <alignment horizontal="center" vertical="center"/>
      <protection locked="0"/>
    </xf>
    <xf numFmtId="0" fontId="16" fillId="14" borderId="33" xfId="0" applyFont="1" applyFill="1" applyBorder="1" applyAlignment="1" applyProtection="1">
      <alignment horizontal="center" vertical="center"/>
      <protection locked="0"/>
    </xf>
    <xf numFmtId="0" fontId="16" fillId="14" borderId="34" xfId="0" applyFont="1" applyFill="1" applyBorder="1" applyAlignment="1" applyProtection="1">
      <alignment horizontal="center" vertical="center"/>
      <protection locked="0"/>
    </xf>
    <xf numFmtId="0" fontId="16" fillId="14" borderId="46" xfId="0" applyFont="1" applyFill="1" applyBorder="1" applyAlignment="1" applyProtection="1">
      <alignment horizontal="center" vertical="center"/>
      <protection locked="0"/>
    </xf>
    <xf numFmtId="0" fontId="16" fillId="14" borderId="49" xfId="0" applyFont="1" applyFill="1" applyBorder="1" applyAlignment="1" applyProtection="1">
      <alignment horizontal="center" vertical="center"/>
      <protection locked="0"/>
    </xf>
    <xf numFmtId="0" fontId="16" fillId="14" borderId="31" xfId="0" applyFont="1" applyFill="1" applyBorder="1" applyAlignment="1" applyProtection="1">
      <alignment horizontal="center" vertical="center"/>
      <protection locked="0"/>
    </xf>
    <xf numFmtId="0" fontId="16" fillId="14" borderId="32" xfId="0" applyFont="1" applyFill="1" applyBorder="1" applyAlignment="1" applyProtection="1">
      <alignment horizontal="center" vertical="center"/>
      <protection locked="0"/>
    </xf>
    <xf numFmtId="166" fontId="0" fillId="0" borderId="36" xfId="0" applyNumberFormat="1" applyBorder="1" applyAlignment="1">
      <alignment horizontal="center" vertical="center"/>
    </xf>
    <xf numFmtId="166" fontId="7" fillId="5" borderId="36" xfId="0" applyNumberFormat="1" applyFont="1" applyFill="1" applyBorder="1" applyAlignment="1">
      <alignment horizontal="center" vertical="center"/>
    </xf>
    <xf numFmtId="166" fontId="7" fillId="0" borderId="36" xfId="0" applyNumberFormat="1" applyFont="1" applyBorder="1" applyAlignment="1">
      <alignment horizontal="center" vertical="center"/>
    </xf>
    <xf numFmtId="166" fontId="0" fillId="10" borderId="36" xfId="0" applyNumberFormat="1" applyFill="1" applyBorder="1" applyAlignment="1">
      <alignment horizontal="center" vertical="center"/>
    </xf>
    <xf numFmtId="166" fontId="0" fillId="8" borderId="36" xfId="0" applyNumberFormat="1" applyFill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21" xfId="0" applyBorder="1" applyAlignment="1">
      <alignment vertical="center"/>
    </xf>
    <xf numFmtId="166" fontId="6" fillId="5" borderId="36" xfId="0" applyNumberFormat="1" applyFont="1" applyFill="1" applyBorder="1" applyAlignment="1">
      <alignment horizontal="center" vertical="center"/>
    </xf>
    <xf numFmtId="0" fontId="17" fillId="0" borderId="0" xfId="0" applyFont="1" applyAlignment="1" applyProtection="1">
      <alignment horizontal="center" vertical="top"/>
      <protection locked="0"/>
    </xf>
    <xf numFmtId="0" fontId="16" fillId="15" borderId="15" xfId="0" applyFont="1" applyFill="1" applyBorder="1" applyAlignment="1" applyProtection="1">
      <alignment horizontal="center" vertical="center"/>
      <protection locked="0"/>
    </xf>
    <xf numFmtId="0" fontId="0" fillId="0" borderId="33" xfId="0" applyBorder="1" applyAlignment="1">
      <alignment vertical="center"/>
    </xf>
    <xf numFmtId="0" fontId="0" fillId="5" borderId="11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5" borderId="18" xfId="0" applyFill="1" applyBorder="1" applyAlignment="1">
      <alignment vertical="center"/>
    </xf>
    <xf numFmtId="0" fontId="0" fillId="5" borderId="27" xfId="0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0" fillId="5" borderId="11" xfId="0" applyFill="1" applyBorder="1" applyAlignment="1">
      <alignment vertical="top"/>
    </xf>
    <xf numFmtId="0" fontId="0" fillId="5" borderId="21" xfId="0" applyFill="1" applyBorder="1" applyAlignment="1">
      <alignment vertical="top"/>
    </xf>
    <xf numFmtId="0" fontId="0" fillId="5" borderId="21" xfId="0" applyFill="1" applyBorder="1" applyAlignment="1">
      <alignment vertical="center"/>
    </xf>
    <xf numFmtId="0" fontId="0" fillId="5" borderId="18" xfId="0" applyFill="1" applyBorder="1" applyAlignment="1">
      <alignment vertical="top"/>
    </xf>
    <xf numFmtId="0" fontId="0" fillId="5" borderId="15" xfId="0" applyFill="1" applyBorder="1" applyAlignment="1">
      <alignment vertical="top" wrapText="1"/>
    </xf>
    <xf numFmtId="0" fontId="0" fillId="5" borderId="27" xfId="0" applyFill="1" applyBorder="1" applyAlignment="1">
      <alignment vertical="center"/>
    </xf>
    <xf numFmtId="0" fontId="0" fillId="5" borderId="15" xfId="0" applyFill="1" applyBorder="1" applyAlignment="1">
      <alignment horizontal="left" vertical="center"/>
    </xf>
    <xf numFmtId="0" fontId="18" fillId="5" borderId="15" xfId="0" applyFont="1" applyFill="1" applyBorder="1" applyAlignment="1">
      <alignment vertical="center"/>
    </xf>
    <xf numFmtId="0" fontId="16" fillId="5" borderId="11" xfId="0" applyFont="1" applyFill="1" applyBorder="1" applyAlignment="1">
      <alignment vertical="center"/>
    </xf>
    <xf numFmtId="0" fontId="16" fillId="5" borderId="21" xfId="0" applyFont="1" applyFill="1" applyBorder="1" applyAlignment="1">
      <alignment vertical="top" wrapText="1"/>
    </xf>
    <xf numFmtId="0" fontId="18" fillId="5" borderId="15" xfId="0" applyFont="1" applyFill="1" applyBorder="1" applyAlignment="1">
      <alignment vertical="top"/>
    </xf>
    <xf numFmtId="0" fontId="18" fillId="5" borderId="21" xfId="0" applyFont="1" applyFill="1" applyBorder="1" applyAlignment="1">
      <alignment vertical="top"/>
    </xf>
    <xf numFmtId="0" fontId="18" fillId="5" borderId="27" xfId="0" applyFont="1" applyFill="1" applyBorder="1" applyAlignment="1">
      <alignment vertical="top"/>
    </xf>
    <xf numFmtId="0" fontId="16" fillId="5" borderId="15" xfId="0" applyFont="1" applyFill="1" applyBorder="1" applyAlignment="1">
      <alignment vertical="center"/>
    </xf>
    <xf numFmtId="0" fontId="16" fillId="5" borderId="15" xfId="0" applyFont="1" applyFill="1" applyBorder="1" applyAlignment="1">
      <alignment vertical="top"/>
    </xf>
    <xf numFmtId="0" fontId="16" fillId="5" borderId="11" xfId="0" applyFont="1" applyFill="1" applyBorder="1" applyAlignment="1">
      <alignment vertical="top"/>
    </xf>
    <xf numFmtId="0" fontId="16" fillId="5" borderId="21" xfId="0" applyFont="1" applyFill="1" applyBorder="1" applyAlignment="1">
      <alignment vertical="top"/>
    </xf>
    <xf numFmtId="0" fontId="18" fillId="5" borderId="11" xfId="0" applyFont="1" applyFill="1" applyBorder="1" applyAlignment="1">
      <alignment vertical="center"/>
    </xf>
    <xf numFmtId="0" fontId="18" fillId="5" borderId="18" xfId="0" applyFont="1" applyFill="1" applyBorder="1" applyAlignment="1">
      <alignment vertical="top"/>
    </xf>
    <xf numFmtId="0" fontId="18" fillId="5" borderId="11" xfId="0" applyFont="1" applyFill="1" applyBorder="1" applyAlignment="1">
      <alignment vertical="top"/>
    </xf>
    <xf numFmtId="0" fontId="18" fillId="5" borderId="18" xfId="0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1" xfId="0" applyBorder="1" applyAlignment="1">
      <alignment horizontal="center" vertical="center"/>
    </xf>
    <xf numFmtId="0" fontId="0" fillId="0" borderId="30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46" xfId="0" applyBorder="1" applyAlignment="1">
      <alignment horizontal="center" vertical="top" wrapText="1"/>
    </xf>
    <xf numFmtId="0" fontId="0" fillId="0" borderId="27" xfId="0" applyBorder="1" applyAlignment="1">
      <alignment horizontal="center" vertical="center"/>
    </xf>
    <xf numFmtId="0" fontId="0" fillId="0" borderId="15" xfId="0" quotePrefix="1" applyBorder="1" applyAlignment="1">
      <alignment horizontal="center" vertical="top"/>
    </xf>
    <xf numFmtId="0" fontId="18" fillId="0" borderId="18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top" wrapText="1"/>
    </xf>
    <xf numFmtId="0" fontId="18" fillId="0" borderId="15" xfId="0" applyFont="1" applyBorder="1" applyAlignment="1">
      <alignment horizontal="center" vertical="top"/>
    </xf>
    <xf numFmtId="0" fontId="18" fillId="0" borderId="21" xfId="0" applyFont="1" applyBorder="1" applyAlignment="1">
      <alignment horizontal="center" vertical="top"/>
    </xf>
    <xf numFmtId="0" fontId="18" fillId="0" borderId="46" xfId="0" applyFont="1" applyBorder="1" applyAlignment="1">
      <alignment horizontal="center" vertical="top"/>
    </xf>
    <xf numFmtId="0" fontId="18" fillId="0" borderId="27" xfId="0" applyFont="1" applyBorder="1" applyAlignment="1">
      <alignment horizontal="center" vertical="top"/>
    </xf>
    <xf numFmtId="0" fontId="16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top"/>
    </xf>
    <xf numFmtId="0" fontId="18" fillId="0" borderId="33" xfId="0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top"/>
    </xf>
    <xf numFmtId="166" fontId="0" fillId="0" borderId="0" xfId="0" applyNumberFormat="1" applyAlignment="1" applyProtection="1">
      <alignment horizontal="center" vertical="top"/>
      <protection locked="0"/>
    </xf>
    <xf numFmtId="166" fontId="17" fillId="0" borderId="0" xfId="0" applyNumberFormat="1" applyFont="1" applyAlignment="1" applyProtection="1">
      <alignment horizontal="center" vertical="top"/>
      <protection locked="0"/>
    </xf>
    <xf numFmtId="167" fontId="0" fillId="0" borderId="0" xfId="3" applyNumberFormat="1" applyFont="1" applyAlignment="1" applyProtection="1">
      <alignment horizontal="center" vertical="top"/>
      <protection locked="0"/>
    </xf>
    <xf numFmtId="166" fontId="19" fillId="0" borderId="0" xfId="0" applyNumberFormat="1" applyFont="1" applyAlignment="1" applyProtection="1">
      <alignment horizontal="center" vertical="top"/>
      <protection locked="0"/>
    </xf>
    <xf numFmtId="0" fontId="19" fillId="0" borderId="0" xfId="0" applyFont="1" applyAlignment="1" applyProtection="1">
      <alignment horizontal="center" vertical="top"/>
      <protection locked="0"/>
    </xf>
    <xf numFmtId="167" fontId="0" fillId="0" borderId="0" xfId="0" applyNumberFormat="1" applyAlignment="1" applyProtection="1">
      <alignment horizontal="center" vertical="top"/>
      <protection locked="0"/>
    </xf>
    <xf numFmtId="0" fontId="0" fillId="0" borderId="11" xfId="0" applyBorder="1" applyAlignment="1">
      <alignment vertical="center"/>
    </xf>
    <xf numFmtId="0" fontId="0" fillId="0" borderId="15" xfId="0" applyBorder="1" applyAlignment="1">
      <alignment vertical="center"/>
    </xf>
    <xf numFmtId="0" fontId="18" fillId="0" borderId="27" xfId="0" applyFont="1" applyBorder="1" applyAlignment="1">
      <alignment vertical="top"/>
    </xf>
    <xf numFmtId="0" fontId="0" fillId="0" borderId="27" xfId="0" applyBorder="1" applyAlignment="1">
      <alignment vertical="top"/>
    </xf>
    <xf numFmtId="0" fontId="0" fillId="0" borderId="15" xfId="0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top"/>
      <protection locked="0"/>
    </xf>
    <xf numFmtId="0" fontId="1" fillId="0" borderId="4" xfId="0" applyFont="1" applyBorder="1" applyAlignment="1">
      <alignment horizontal="center" vertical="center"/>
    </xf>
    <xf numFmtId="0" fontId="1" fillId="15" borderId="0" xfId="0" applyFont="1" applyFill="1" applyAlignment="1">
      <alignment horizontal="center" vertical="top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4" borderId="7" xfId="0" applyFont="1" applyFill="1" applyBorder="1" applyAlignment="1" applyProtection="1">
      <alignment horizontal="center" vertical="center"/>
      <protection locked="0"/>
    </xf>
    <xf numFmtId="0" fontId="1" fillId="4" borderId="9" xfId="0" applyFont="1" applyFill="1" applyBorder="1" applyAlignment="1" applyProtection="1">
      <alignment horizontal="center" vertical="center"/>
      <protection locked="0"/>
    </xf>
    <xf numFmtId="0" fontId="16" fillId="0" borderId="11" xfId="0" applyFont="1" applyBorder="1" applyAlignment="1">
      <alignment vertical="center"/>
    </xf>
    <xf numFmtId="0" fontId="16" fillId="0" borderId="21" xfId="0" applyFont="1" applyBorder="1" applyAlignment="1">
      <alignment vertical="top" wrapText="1"/>
    </xf>
    <xf numFmtId="0" fontId="15" fillId="0" borderId="15" xfId="0" applyFont="1" applyBorder="1" applyAlignment="1">
      <alignment vertical="top"/>
    </xf>
    <xf numFmtId="0" fontId="18" fillId="0" borderId="15" xfId="0" applyFont="1" applyBorder="1" applyAlignment="1">
      <alignment vertical="top"/>
    </xf>
    <xf numFmtId="0" fontId="18" fillId="0" borderId="21" xfId="0" applyFont="1" applyBorder="1" applyAlignment="1">
      <alignment vertical="top"/>
    </xf>
    <xf numFmtId="0" fontId="18" fillId="0" borderId="15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1" xfId="0" applyBorder="1" applyAlignment="1">
      <alignment vertical="top"/>
    </xf>
    <xf numFmtId="0" fontId="0" fillId="0" borderId="21" xfId="0" applyBorder="1" applyAlignment="1">
      <alignment vertical="top"/>
    </xf>
    <xf numFmtId="0" fontId="16" fillId="0" borderId="15" xfId="0" applyFont="1" applyBorder="1" applyAlignment="1">
      <alignment vertical="top"/>
    </xf>
    <xf numFmtId="0" fontId="16" fillId="0" borderId="11" xfId="0" applyFont="1" applyBorder="1" applyAlignment="1">
      <alignment vertical="top"/>
    </xf>
    <xf numFmtId="0" fontId="0" fillId="0" borderId="18" xfId="0" applyBorder="1" applyAlignment="1">
      <alignment vertical="top"/>
    </xf>
    <xf numFmtId="0" fontId="15" fillId="0" borderId="46" xfId="0" applyFont="1" applyBorder="1" applyAlignment="1">
      <alignment vertical="top" wrapText="1"/>
    </xf>
    <xf numFmtId="0" fontId="18" fillId="0" borderId="11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18" fillId="0" borderId="18" xfId="0" applyFont="1" applyBorder="1" applyAlignment="1">
      <alignment vertical="top"/>
    </xf>
    <xf numFmtId="0" fontId="0" fillId="0" borderId="15" xfId="0" applyBorder="1" applyAlignment="1">
      <alignment horizontal="left" vertical="center"/>
    </xf>
    <xf numFmtId="0" fontId="18" fillId="0" borderId="11" xfId="0" applyFont="1" applyBorder="1" applyAlignment="1">
      <alignment vertical="top"/>
    </xf>
    <xf numFmtId="0" fontId="18" fillId="0" borderId="18" xfId="0" applyFont="1" applyBorder="1" applyAlignment="1">
      <alignment vertical="center"/>
    </xf>
    <xf numFmtId="0" fontId="15" fillId="0" borderId="18" xfId="0" applyFont="1" applyBorder="1" applyAlignment="1">
      <alignment vertical="top"/>
    </xf>
    <xf numFmtId="167" fontId="17" fillId="0" borderId="0" xfId="0" applyNumberFormat="1" applyFont="1" applyAlignment="1" applyProtection="1">
      <alignment horizontal="center" vertical="top"/>
      <protection locked="0"/>
    </xf>
    <xf numFmtId="0" fontId="18" fillId="5" borderId="46" xfId="0" applyFont="1" applyFill="1" applyBorder="1" applyAlignment="1">
      <alignment vertical="center"/>
    </xf>
    <xf numFmtId="0" fontId="18" fillId="0" borderId="46" xfId="0" applyFont="1" applyBorder="1" applyAlignment="1">
      <alignment vertical="center"/>
    </xf>
    <xf numFmtId="0" fontId="18" fillId="0" borderId="46" xfId="0" applyFont="1" applyBorder="1" applyAlignment="1">
      <alignment horizontal="center" vertical="center"/>
    </xf>
    <xf numFmtId="0" fontId="0" fillId="0" borderId="33" xfId="0" applyBorder="1" applyAlignment="1">
      <alignment vertical="top"/>
    </xf>
    <xf numFmtId="0" fontId="0" fillId="0" borderId="33" xfId="0" applyBorder="1" applyAlignment="1">
      <alignment horizontal="center" vertical="top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0" fillId="16" borderId="11" xfId="0" applyFill="1" applyBorder="1" applyAlignment="1">
      <alignment vertical="top"/>
    </xf>
    <xf numFmtId="0" fontId="0" fillId="16" borderId="15" xfId="0" applyFill="1" applyBorder="1" applyAlignment="1">
      <alignment vertical="top"/>
    </xf>
    <xf numFmtId="0" fontId="18" fillId="5" borderId="46" xfId="0" applyFont="1" applyFill="1" applyBorder="1" applyAlignment="1">
      <alignment vertical="top"/>
    </xf>
    <xf numFmtId="0" fontId="0" fillId="0" borderId="55" xfId="0" applyBorder="1" applyAlignment="1" applyProtection="1">
      <alignment horizontal="center" vertical="center"/>
      <protection locked="0"/>
    </xf>
    <xf numFmtId="0" fontId="15" fillId="0" borderId="46" xfId="0" applyFont="1" applyBorder="1" applyAlignment="1">
      <alignment vertical="top"/>
    </xf>
    <xf numFmtId="0" fontId="16" fillId="0" borderId="15" xfId="0" applyFont="1" applyBorder="1" applyAlignment="1">
      <alignment vertical="center"/>
    </xf>
    <xf numFmtId="0" fontId="16" fillId="0" borderId="21" xfId="0" applyFont="1" applyBorder="1" applyAlignment="1">
      <alignment vertical="top"/>
    </xf>
    <xf numFmtId="0" fontId="0" fillId="16" borderId="27" xfId="0" applyFill="1" applyBorder="1" applyAlignment="1">
      <alignment vertical="top"/>
    </xf>
    <xf numFmtId="0" fontId="16" fillId="0" borderId="46" xfId="0" applyFont="1" applyBorder="1" applyAlignment="1" applyProtection="1">
      <alignment horizontal="center" vertical="center"/>
      <protection locked="0"/>
    </xf>
    <xf numFmtId="0" fontId="16" fillId="0" borderId="29" xfId="0" applyFont="1" applyBorder="1" applyAlignment="1" applyProtection="1">
      <alignment horizontal="center" vertical="top"/>
      <protection locked="0"/>
    </xf>
    <xf numFmtId="0" fontId="0" fillId="0" borderId="29" xfId="0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17" borderId="18" xfId="0" applyFont="1" applyFill="1" applyBorder="1" applyAlignment="1" applyProtection="1">
      <alignment horizontal="center" vertical="center"/>
      <protection locked="0"/>
    </xf>
    <xf numFmtId="0" fontId="0" fillId="5" borderId="24" xfId="0" applyFill="1" applyBorder="1" applyAlignment="1">
      <alignment vertical="top"/>
    </xf>
    <xf numFmtId="0" fontId="16" fillId="17" borderId="15" xfId="0" applyFont="1" applyFill="1" applyBorder="1" applyAlignment="1" applyProtection="1">
      <alignment horizontal="center" vertical="center"/>
      <protection locked="0"/>
    </xf>
    <xf numFmtId="1" fontId="16" fillId="14" borderId="15" xfId="0" applyNumberFormat="1" applyFont="1" applyFill="1" applyBorder="1" applyAlignment="1" applyProtection="1">
      <alignment horizontal="center" vertical="center"/>
      <protection locked="0"/>
    </xf>
    <xf numFmtId="0" fontId="0" fillId="14" borderId="15" xfId="0" applyFill="1" applyBorder="1" applyAlignment="1" applyProtection="1">
      <alignment horizontal="center" vertical="top"/>
      <protection locked="0"/>
    </xf>
    <xf numFmtId="0" fontId="16" fillId="14" borderId="30" xfId="0" applyFont="1" applyFill="1" applyBorder="1" applyAlignment="1" applyProtection="1">
      <alignment horizontal="center" vertical="center"/>
      <protection locked="0"/>
    </xf>
    <xf numFmtId="0" fontId="0" fillId="14" borderId="0" xfId="0" applyFill="1" applyAlignment="1" applyProtection="1">
      <alignment horizontal="center" vertical="top"/>
      <protection locked="0"/>
    </xf>
    <xf numFmtId="0" fontId="16" fillId="13" borderId="15" xfId="0" applyFont="1" applyFill="1" applyBorder="1" applyAlignment="1" applyProtection="1">
      <alignment horizontal="center" vertical="center"/>
      <protection locked="0"/>
    </xf>
    <xf numFmtId="0" fontId="16" fillId="13" borderId="27" xfId="0" applyFont="1" applyFill="1" applyBorder="1" applyAlignment="1" applyProtection="1">
      <alignment horizontal="center" vertical="center"/>
      <protection locked="0"/>
    </xf>
    <xf numFmtId="0" fontId="16" fillId="13" borderId="11" xfId="0" applyFont="1" applyFill="1" applyBorder="1" applyAlignment="1" applyProtection="1">
      <alignment horizontal="center" vertical="center"/>
      <protection locked="0"/>
    </xf>
    <xf numFmtId="166" fontId="7" fillId="13" borderId="36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9" borderId="35" xfId="0" applyFill="1" applyBorder="1" applyAlignment="1">
      <alignment vertical="center"/>
    </xf>
    <xf numFmtId="0" fontId="7" fillId="9" borderId="36" xfId="0" applyFont="1" applyFill="1" applyBorder="1" applyAlignment="1">
      <alignment horizontal="left" vertical="top"/>
    </xf>
    <xf numFmtId="0" fontId="7" fillId="9" borderId="36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vertical="top"/>
    </xf>
    <xf numFmtId="14" fontId="3" fillId="2" borderId="0" xfId="0" applyNumberFormat="1" applyFont="1" applyFill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166" fontId="0" fillId="8" borderId="36" xfId="0" applyNumberForma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1" fontId="0" fillId="8" borderId="36" xfId="0" applyNumberFormat="1" applyFill="1" applyBorder="1" applyAlignment="1">
      <alignment horizontal="center" vertical="top"/>
    </xf>
    <xf numFmtId="0" fontId="0" fillId="0" borderId="3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top"/>
    </xf>
    <xf numFmtId="0" fontId="3" fillId="2" borderId="52" xfId="0" applyFont="1" applyFill="1" applyBorder="1" applyAlignment="1">
      <alignment horizontal="center" vertical="top"/>
    </xf>
    <xf numFmtId="0" fontId="3" fillId="2" borderId="53" xfId="0" applyFont="1" applyFill="1" applyBorder="1" applyAlignment="1">
      <alignment horizontal="center" vertical="top"/>
    </xf>
    <xf numFmtId="14" fontId="3" fillId="2" borderId="35" xfId="0" applyNumberFormat="1" applyFont="1" applyFill="1" applyBorder="1" applyAlignment="1">
      <alignment horizontal="center" vertical="center"/>
    </xf>
    <xf numFmtId="14" fontId="3" fillId="2" borderId="37" xfId="0" applyNumberFormat="1" applyFont="1" applyFill="1" applyBorder="1" applyAlignment="1">
      <alignment horizontal="center" vertical="center"/>
    </xf>
    <xf numFmtId="14" fontId="3" fillId="2" borderId="39" xfId="0" applyNumberFormat="1" applyFont="1" applyFill="1" applyBorder="1" applyAlignment="1">
      <alignment horizontal="center" vertical="center"/>
    </xf>
    <xf numFmtId="14" fontId="3" fillId="2" borderId="51" xfId="0" applyNumberFormat="1" applyFont="1" applyFill="1" applyBorder="1" applyAlignment="1">
      <alignment horizontal="center" vertical="top"/>
    </xf>
    <xf numFmtId="14" fontId="3" fillId="2" borderId="52" xfId="0" applyNumberFormat="1" applyFont="1" applyFill="1" applyBorder="1" applyAlignment="1">
      <alignment horizontal="center" vertical="top"/>
    </xf>
    <xf numFmtId="14" fontId="3" fillId="2" borderId="53" xfId="0" applyNumberFormat="1" applyFont="1" applyFill="1" applyBorder="1" applyAlignment="1">
      <alignment horizontal="center" vertical="top"/>
    </xf>
    <xf numFmtId="0" fontId="11" fillId="12" borderId="43" xfId="0" applyFont="1" applyFill="1" applyBorder="1" applyAlignment="1">
      <alignment horizontal="center" vertical="center"/>
    </xf>
    <xf numFmtId="0" fontId="11" fillId="12" borderId="4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 applyProtection="1">
      <alignment horizontal="center" vertical="top"/>
      <protection locked="0"/>
    </xf>
    <xf numFmtId="14" fontId="3" fillId="2" borderId="3" xfId="0" applyNumberFormat="1" applyFont="1" applyFill="1" applyBorder="1" applyAlignment="1" applyProtection="1">
      <alignment horizontal="center" vertical="top"/>
      <protection locked="0"/>
    </xf>
    <xf numFmtId="0" fontId="1" fillId="3" borderId="4" xfId="0" applyFont="1" applyFill="1" applyBorder="1" applyAlignment="1" applyProtection="1">
      <alignment horizontal="center" vertical="top"/>
      <protection locked="0"/>
    </xf>
    <xf numFmtId="0" fontId="1" fillId="3" borderId="0" xfId="0" applyFont="1" applyFill="1" applyAlignment="1" applyProtection="1">
      <alignment horizontal="center" vertical="top"/>
      <protection locked="0"/>
    </xf>
    <xf numFmtId="14" fontId="3" fillId="2" borderId="1" xfId="0" applyNumberFormat="1" applyFont="1" applyFill="1" applyBorder="1" applyAlignment="1" applyProtection="1">
      <alignment horizontal="center" vertical="top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3" borderId="5" xfId="0" applyFont="1" applyFill="1" applyBorder="1" applyAlignment="1" applyProtection="1">
      <alignment horizontal="center" vertical="top"/>
      <protection locked="0"/>
    </xf>
    <xf numFmtId="166" fontId="0" fillId="8" borderId="51" xfId="0" applyNumberFormat="1" applyFill="1" applyBorder="1" applyAlignment="1">
      <alignment horizontal="center" vertical="top"/>
    </xf>
    <xf numFmtId="166" fontId="0" fillId="8" borderId="52" xfId="0" applyNumberFormat="1" applyFill="1" applyBorder="1" applyAlignment="1">
      <alignment horizontal="center" vertical="top"/>
    </xf>
    <xf numFmtId="166" fontId="0" fillId="8" borderId="53" xfId="0" applyNumberFormat="1" applyFill="1" applyBorder="1" applyAlignment="1">
      <alignment horizontal="center" vertical="top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14" fontId="3" fillId="2" borderId="41" xfId="0" applyNumberFormat="1" applyFont="1" applyFill="1" applyBorder="1" applyAlignment="1">
      <alignment horizontal="center" vertical="top"/>
    </xf>
    <xf numFmtId="14" fontId="3" fillId="2" borderId="42" xfId="0" applyNumberFormat="1" applyFont="1" applyFill="1" applyBorder="1" applyAlignment="1">
      <alignment horizontal="center" vertical="top"/>
    </xf>
    <xf numFmtId="0" fontId="0" fillId="8" borderId="51" xfId="0" applyFill="1" applyBorder="1" applyAlignment="1">
      <alignment horizontal="center" vertical="top"/>
    </xf>
    <xf numFmtId="0" fontId="0" fillId="8" borderId="53" xfId="0" applyFill="1" applyBorder="1" applyAlignment="1">
      <alignment horizontal="center" vertical="top"/>
    </xf>
    <xf numFmtId="0" fontId="3" fillId="2" borderId="45" xfId="0" applyFont="1" applyFill="1" applyBorder="1" applyAlignment="1">
      <alignment horizontal="center" vertical="top"/>
    </xf>
    <xf numFmtId="0" fontId="0" fillId="8" borderId="52" xfId="0" applyFill="1" applyBorder="1" applyAlignment="1">
      <alignment horizontal="center" vertical="top"/>
    </xf>
    <xf numFmtId="0" fontId="1" fillId="0" borderId="0" xfId="0" applyFont="1" applyAlignment="1" applyProtection="1">
      <alignment horizontal="center" vertical="top"/>
      <protection locked="0"/>
    </xf>
    <xf numFmtId="0" fontId="4" fillId="0" borderId="41" xfId="0" applyFont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 vertical="center"/>
    </xf>
    <xf numFmtId="0" fontId="4" fillId="0" borderId="41" xfId="0" applyFont="1" applyBorder="1" applyAlignment="1">
      <alignment horizontal="center" vertical="top"/>
    </xf>
    <xf numFmtId="3" fontId="0" fillId="0" borderId="35" xfId="0" applyNumberFormat="1" applyBorder="1" applyAlignment="1">
      <alignment horizontal="center" vertical="center"/>
    </xf>
    <xf numFmtId="3" fontId="0" fillId="0" borderId="39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4" fillId="0" borderId="0" xfId="0" applyFont="1" applyAlignment="1" applyProtection="1">
      <alignment horizontal="center" vertical="top"/>
      <protection locked="0"/>
    </xf>
    <xf numFmtId="0" fontId="7" fillId="0" borderId="41" xfId="0" applyFont="1" applyBorder="1" applyAlignment="1">
      <alignment horizontal="center" vertical="top"/>
    </xf>
  </cellXfs>
  <cellStyles count="4">
    <cellStyle name="Comma" xfId="3" builtinId="3"/>
    <cellStyle name="Normal" xfId="0" builtinId="0"/>
    <cellStyle name="Normal 2" xfId="2" xr:uid="{4E052672-E7F1-4A7C-8DCB-06F01E2DD219}"/>
    <cellStyle name="Normal 2 2 2" xfId="1" xr:uid="{26E0E3D2-D895-4E60-825F-46D4772B9F9B}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ezl Vicoy" id="{68A4E71F-9BF2-4564-9F68-70F750784EC6}" userId="Liezl Vicoy" providerId="None"/>
  <person displayName="Liezl Vicoy" id="{92C0A09E-A047-41BD-BE9D-F7AE7B58CE83}" userId="S::liezl.vicoy@autoliv.com::eb34cb47-d9f8-48d0-b122-3d0c372d25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" personId="{68A4E71F-9BF2-4564-9F68-70F750784EC6}" id="{FB88833A-7715-4A0F-A740-351C632DBD76}">
    <text>Training - TB655 H to TB670 H circular</text>
  </threadedComment>
  <threadedComment ref="I37" personId="{68A4E71F-9BF2-4564-9F68-70F750784EC6}" id="{B2047586-6304-4544-A60F-9ABE68FBB0B6}">
    <text>Training - TB655 H to TB670 H circular</text>
  </threadedComment>
  <threadedComment ref="L37" personId="{68A4E71F-9BF2-4564-9F68-70F750784EC6}" id="{4B5EFEEA-74A7-4504-9240-F67E4D0ABE91}">
    <text>Training - TB655 H to TB670 H circular</text>
  </threadedComment>
  <threadedComment ref="O37" personId="{68A4E71F-9BF2-4564-9F68-70F750784EC6}" id="{16C9DD7F-04E9-425C-9A06-79C39FA14D06}">
    <text>Training - TB655 H to TB670 H circular</text>
  </threadedComment>
  <threadedComment ref="R37" personId="{68A4E71F-9BF2-4564-9F68-70F750784EC6}" id="{E5F68040-94EF-445D-8D82-53FB6996DE48}">
    <text>Training - TB655 H to TB670 H circular</text>
  </threadedComment>
  <threadedComment ref="S77" dT="2026-07-29T10:40:47.32" personId="{92C0A09E-A047-41BD-BE9D-F7AE7B58CE83}" id="{BC51C555-2AD5-4066-ABAA-E3B592EF1386}">
    <text>Reduced OT to align with RS and limited RM - delivery will be on Aug 10</text>
  </threadedComment>
  <threadedComment ref="V77" dT="2026-07-29T10:40:57.35" personId="{92C0A09E-A047-41BD-BE9D-F7AE7B58CE83}" id="{49172C87-2CC3-48FD-A326-33882DA804CF}">
    <text>Reduced OT to align with RS and limited RM - delivery will be on Aug 10</text>
  </threadedComment>
  <threadedComment ref="F113" dT="2026-07-30T03:05:31.49" personId="{92C0A09E-A047-41BD-BE9D-F7AE7B58CE83}" id="{2211C097-99F2-4DD4-A71F-EDF711F63690}">
    <text>18 pcs for trial run - 2 hrs. required time</text>
  </threadedComment>
  <threadedComment ref="R116" dT="2026-07-22T18:04:14.91" personId="{92C0A09E-A047-41BD-BE9D-F7AE7B58CE83}" id="{242327E1-5631-474A-AFF9-09594B7F50F6}">
    <text>75 pcs for trial run - 6 hours</text>
  </threadedComment>
  <threadedComment ref="C117" dT="2026-07-09T01:51:37.24" personId="{92C0A09E-A047-41BD-BE9D-F7AE7B58CE83}" id="{16981FF1-4572-4348-BC3D-5D11FC2FB5AA}">
    <text>from Trial MQ200 NH</text>
  </threadedComment>
  <threadedComment ref="F142" dT="2026-07-30T03:27:00.33" personId="{92C0A09E-A047-41BD-BE9D-F7AE7B58CE83}" id="{9B36929A-6C92-464C-98F8-0298E1A40BE2}">
    <text>38 pcs for trial run - 6 hrs. required time</text>
  </threadedComment>
  <threadedComment ref="F145" dT="2026-07-30T03:33:08.95" personId="{92C0A09E-A047-41BD-BE9D-F7AE7B58CE83}" id="{7B38E344-E3FB-462A-9283-A7A66E0D21A6}">
    <text>2 hrs. required time</text>
  </threadedComment>
  <threadedComment ref="F173" personId="{68A4E71F-9BF2-4564-9F68-70F750784EC6}" id="{C466E314-5CDC-45BC-98FD-FBA85F53502C}">
    <text>Training - TB55 H to TB700</text>
  </threadedComment>
  <threadedComment ref="I173" personId="{68A4E71F-9BF2-4564-9F68-70F750784EC6}" id="{9BE0569D-200D-469C-AFD8-E956546942CD}">
    <text>Training - TB55 H to TB700</text>
  </threadedComment>
  <threadedComment ref="L173" personId="{68A4E71F-9BF2-4564-9F68-70F750784EC6}" id="{95D70CD9-A8A8-495D-B41F-103A2A73D338}">
    <text>Training - TB55 H to TB700</text>
  </threadedComment>
  <threadedComment ref="O173" personId="{68A4E71F-9BF2-4564-9F68-70F750784EC6}" id="{245651B9-E8D9-4C4B-9C8D-2DFD0EF36B70}">
    <text>Training - TB55 H to TB700</text>
  </threadedComment>
  <threadedComment ref="R173" personId="{68A4E71F-9BF2-4564-9F68-70F750784EC6}" id="{409CE8D6-D5EF-4EE1-BD76-7712EADD84AE}">
    <text>Training - TB55 H to TB700</text>
  </threadedComment>
  <threadedComment ref="L176" dT="2026-07-30T02:58:09.55" personId="{92C0A09E-A047-41BD-BE9D-F7AE7B58CE83}" id="{79BBBFEE-A9B3-41A7-A489-BE5C901DDF40}">
    <text>35 pcs for trial run - 4 hrs. required time</text>
  </threadedComment>
  <threadedComment ref="F322" dT="2026-07-24T05:07:01.21" personId="{92C0A09E-A047-41BD-BE9D-F7AE7B58CE83}" id="{15993055-AC01-46BC-82E9-541A69831D46}">
    <text>Training - MQ130 to TB670 NH</text>
  </threadedComment>
  <threadedComment ref="I322" dT="2026-07-24T05:07:01.21" personId="{92C0A09E-A047-41BD-BE9D-F7AE7B58CE83}" id="{E4BC0395-A4E5-4ADC-AA63-9253B6CB2854}">
    <text>Training - MQ130 to TB670 NH</text>
  </threadedComment>
  <threadedComment ref="L322" dT="2026-07-24T05:07:01.21" personId="{92C0A09E-A047-41BD-BE9D-F7AE7B58CE83}" id="{8DB33364-5B8C-46C5-85EC-30BE9A51C84B}">
    <text>Training - MQ130 to TB670 NH</text>
  </threadedComment>
  <threadedComment ref="O322" dT="2026-07-24T05:07:01.21" personId="{92C0A09E-A047-41BD-BE9D-F7AE7B58CE83}" id="{F71DC91C-0013-41C9-AAA5-C844298BBC06}">
    <text>Training - MQ130 to TB670 NH</text>
  </threadedComment>
  <threadedComment ref="R322" dT="2026-07-24T05:07:01.21" personId="{92C0A09E-A047-41BD-BE9D-F7AE7B58CE83}" id="{E4CBD9AF-8684-44C9-A207-5F46F2E5B478}">
    <text>Training - MQ130 to TB670 NH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2" dT="2026-07-30T03:30:27.38" personId="{92C0A09E-A047-41BD-BE9D-F7AE7B58CE83}" id="{62577334-6443-49A1-94D5-C4FEAF8D0FE7}">
    <text>No need to supply body from PU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4BB6-6A69-476C-83D4-712ACF9A64D4}">
  <dimension ref="A1:AP460"/>
  <sheetViews>
    <sheetView showGridLines="0"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15" sqref="H15"/>
    </sheetView>
  </sheetViews>
  <sheetFormatPr defaultColWidth="8.81640625" defaultRowHeight="14.5" x14ac:dyDescent="0.35"/>
  <cols>
    <col min="1" max="1" width="5.7265625" style="2" customWidth="1"/>
    <col min="2" max="2" width="35.26953125" style="1" customWidth="1"/>
    <col min="3" max="3" width="23.7265625" style="1" bestFit="1" customWidth="1"/>
    <col min="4" max="4" width="7.7265625" style="1" customWidth="1"/>
    <col min="5" max="5" width="12" style="62" customWidth="1"/>
    <col min="6" max="26" width="8" style="28" customWidth="1"/>
    <col min="27" max="27" width="14.26953125" style="28" bestFit="1" customWidth="1"/>
    <col min="28" max="28" width="9.26953125" style="28" customWidth="1"/>
    <col min="29" max="29" width="11.1796875" style="28" customWidth="1"/>
    <col min="30" max="30" width="8.7265625" style="4" customWidth="1"/>
    <col min="31" max="31" width="12.7265625" style="2" customWidth="1"/>
    <col min="32" max="32" width="6.81640625" style="125" customWidth="1"/>
    <col min="33" max="35" width="11.453125" style="30" customWidth="1"/>
    <col min="36" max="16384" width="8.81640625" style="30"/>
  </cols>
  <sheetData>
    <row r="1" spans="1:42" x14ac:dyDescent="0.35">
      <c r="A1" s="211"/>
      <c r="B1" s="318" t="s">
        <v>531</v>
      </c>
      <c r="C1" s="320"/>
      <c r="D1" s="212" t="s">
        <v>447</v>
      </c>
      <c r="E1" s="213"/>
      <c r="F1" s="317">
        <v>46237</v>
      </c>
      <c r="G1" s="313"/>
      <c r="H1" s="313"/>
      <c r="I1" s="313">
        <f>F1+1</f>
        <v>46238</v>
      </c>
      <c r="J1" s="313"/>
      <c r="K1" s="313"/>
      <c r="L1" s="313">
        <f>I1+1</f>
        <v>46239</v>
      </c>
      <c r="M1" s="313"/>
      <c r="N1" s="313"/>
      <c r="O1" s="313">
        <f>L1+1</f>
        <v>46240</v>
      </c>
      <c r="P1" s="313"/>
      <c r="Q1" s="313"/>
      <c r="R1" s="313">
        <f>O1+1</f>
        <v>46241</v>
      </c>
      <c r="S1" s="313"/>
      <c r="T1" s="313"/>
      <c r="U1" s="313">
        <f>R1+1</f>
        <v>46242</v>
      </c>
      <c r="V1" s="313"/>
      <c r="W1" s="313"/>
      <c r="X1" s="313">
        <f>U1+1</f>
        <v>46243</v>
      </c>
      <c r="Y1" s="313"/>
      <c r="Z1" s="314"/>
      <c r="AA1" s="214"/>
      <c r="AB1" s="29"/>
      <c r="AC1" s="29"/>
      <c r="AD1" s="2"/>
      <c r="AH1" s="30" t="s">
        <v>450</v>
      </c>
      <c r="AI1" s="29" t="s">
        <v>451</v>
      </c>
      <c r="AJ1" s="30" t="s">
        <v>452</v>
      </c>
      <c r="AM1" s="30" t="s">
        <v>453</v>
      </c>
      <c r="AO1" s="29" t="s">
        <v>353</v>
      </c>
      <c r="AP1" s="30" t="s">
        <v>452</v>
      </c>
    </row>
    <row r="2" spans="1:42" x14ac:dyDescent="0.35">
      <c r="A2" s="215"/>
      <c r="B2" s="319"/>
      <c r="C2" s="321"/>
      <c r="D2" s="216" t="s">
        <v>470</v>
      </c>
      <c r="E2" s="19"/>
      <c r="F2" s="315" t="s">
        <v>1</v>
      </c>
      <c r="G2" s="316"/>
      <c r="H2" s="316"/>
      <c r="I2" s="316" t="s">
        <v>2</v>
      </c>
      <c r="J2" s="316"/>
      <c r="K2" s="316"/>
      <c r="L2" s="316" t="s">
        <v>3</v>
      </c>
      <c r="M2" s="316"/>
      <c r="N2" s="316"/>
      <c r="O2" s="316" t="s">
        <v>4</v>
      </c>
      <c r="P2" s="316"/>
      <c r="Q2" s="316"/>
      <c r="R2" s="316" t="s">
        <v>5</v>
      </c>
      <c r="S2" s="316"/>
      <c r="T2" s="316"/>
      <c r="U2" s="316" t="s">
        <v>6</v>
      </c>
      <c r="V2" s="316"/>
      <c r="W2" s="316"/>
      <c r="X2" s="316" t="s">
        <v>7</v>
      </c>
      <c r="Y2" s="316"/>
      <c r="Z2" s="322"/>
      <c r="AA2" s="31"/>
      <c r="AB2" s="29"/>
      <c r="AC2" s="29"/>
      <c r="AD2" s="2"/>
      <c r="AI2" s="29">
        <v>2.25</v>
      </c>
      <c r="AJ2" s="30" t="s">
        <v>454</v>
      </c>
      <c r="AO2" s="29" t="s">
        <v>354</v>
      </c>
      <c r="AP2" s="30" t="s">
        <v>454</v>
      </c>
    </row>
    <row r="3" spans="1:42" ht="15" thickBot="1" x14ac:dyDescent="0.4">
      <c r="A3" s="217" t="s">
        <v>0</v>
      </c>
      <c r="B3" s="218" t="s">
        <v>8</v>
      </c>
      <c r="C3" s="218" t="s">
        <v>9</v>
      </c>
      <c r="D3" s="218" t="s">
        <v>288</v>
      </c>
      <c r="E3" s="218" t="s">
        <v>444</v>
      </c>
      <c r="F3" s="219" t="s">
        <v>10</v>
      </c>
      <c r="G3" s="33" t="s">
        <v>11</v>
      </c>
      <c r="H3" s="33" t="s">
        <v>12</v>
      </c>
      <c r="I3" s="33" t="s">
        <v>10</v>
      </c>
      <c r="J3" s="33" t="s">
        <v>11</v>
      </c>
      <c r="K3" s="33" t="s">
        <v>12</v>
      </c>
      <c r="L3" s="33" t="s">
        <v>10</v>
      </c>
      <c r="M3" s="33" t="s">
        <v>11</v>
      </c>
      <c r="N3" s="33" t="s">
        <v>12</v>
      </c>
      <c r="O3" s="33" t="s">
        <v>10</v>
      </c>
      <c r="P3" s="33" t="s">
        <v>11</v>
      </c>
      <c r="Q3" s="33" t="s">
        <v>12</v>
      </c>
      <c r="R3" s="33" t="s">
        <v>10</v>
      </c>
      <c r="S3" s="33" t="s">
        <v>11</v>
      </c>
      <c r="T3" s="33" t="s">
        <v>12</v>
      </c>
      <c r="U3" s="33" t="s">
        <v>10</v>
      </c>
      <c r="V3" s="33" t="s">
        <v>11</v>
      </c>
      <c r="W3" s="33" t="s">
        <v>12</v>
      </c>
      <c r="X3" s="33" t="s">
        <v>10</v>
      </c>
      <c r="Y3" s="33" t="s">
        <v>11</v>
      </c>
      <c r="Z3" s="220" t="s">
        <v>12</v>
      </c>
      <c r="AA3" s="247" t="s">
        <v>13</v>
      </c>
      <c r="AB3" s="33" t="s">
        <v>289</v>
      </c>
      <c r="AC3" s="32" t="s">
        <v>446</v>
      </c>
      <c r="AD3" s="61" t="s">
        <v>448</v>
      </c>
      <c r="AE3" s="61" t="s">
        <v>357</v>
      </c>
      <c r="AI3" s="29">
        <f>9+2.25</f>
        <v>11.25</v>
      </c>
      <c r="AJ3" s="30" t="s">
        <v>455</v>
      </c>
      <c r="AO3" s="29">
        <f>7.5+3.75</f>
        <v>11.25</v>
      </c>
      <c r="AP3" s="30" t="s">
        <v>455</v>
      </c>
    </row>
    <row r="4" spans="1:42" x14ac:dyDescent="0.35">
      <c r="A4" s="157">
        <v>1</v>
      </c>
      <c r="B4" s="131" t="s">
        <v>14</v>
      </c>
      <c r="C4" s="228" t="s">
        <v>272</v>
      </c>
      <c r="D4" s="169">
        <v>17</v>
      </c>
      <c r="E4" s="287"/>
      <c r="F4" s="87"/>
      <c r="G4" s="87"/>
      <c r="H4" s="87"/>
      <c r="I4" s="87"/>
      <c r="J4" s="87"/>
      <c r="K4" s="87"/>
      <c r="L4" s="87"/>
      <c r="M4" s="87"/>
      <c r="N4" s="87"/>
      <c r="O4" s="102"/>
      <c r="P4" s="102"/>
      <c r="Q4" s="102"/>
      <c r="R4" s="87"/>
      <c r="S4" s="87"/>
      <c r="T4" s="87"/>
      <c r="U4" s="87"/>
      <c r="V4" s="87"/>
      <c r="W4" s="87"/>
      <c r="X4" s="102"/>
      <c r="Y4" s="102"/>
      <c r="Z4" s="103"/>
      <c r="AA4" s="34" t="s">
        <v>14</v>
      </c>
      <c r="AB4" s="17">
        <f t="shared" ref="AB4:AB65" si="0">SUM(F4:Z4)</f>
        <v>0</v>
      </c>
      <c r="AC4" s="29">
        <v>84</v>
      </c>
      <c r="AD4" s="2">
        <f t="shared" ref="AD4:AD58" si="1">AC4/12</f>
        <v>7</v>
      </c>
      <c r="AE4" s="2">
        <f t="shared" ref="AE4:AE58" si="2">ROUND(IFERROR(AB4/D4,0),)</f>
        <v>0</v>
      </c>
      <c r="AG4" s="35"/>
      <c r="AN4" s="30">
        <v>0.25</v>
      </c>
      <c r="AO4" s="30" t="s">
        <v>383</v>
      </c>
    </row>
    <row r="5" spans="1:42" x14ac:dyDescent="0.35">
      <c r="A5" s="158">
        <v>1</v>
      </c>
      <c r="B5" s="143" t="s">
        <v>16</v>
      </c>
      <c r="C5" s="209" t="s">
        <v>351</v>
      </c>
      <c r="D5" s="170">
        <v>15</v>
      </c>
      <c r="E5" s="288"/>
      <c r="F5" s="89"/>
      <c r="G5" s="89"/>
      <c r="H5" s="89"/>
      <c r="I5" s="89"/>
      <c r="J5" s="89"/>
      <c r="K5" s="89"/>
      <c r="L5" s="89"/>
      <c r="M5" s="89"/>
      <c r="N5" s="89"/>
      <c r="O5" s="104"/>
      <c r="P5" s="104"/>
      <c r="Q5" s="104"/>
      <c r="R5" s="89"/>
      <c r="S5" s="89"/>
      <c r="T5" s="89"/>
      <c r="U5" s="89"/>
      <c r="V5" s="89"/>
      <c r="W5" s="89"/>
      <c r="X5" s="104"/>
      <c r="Y5" s="104"/>
      <c r="Z5" s="105"/>
      <c r="AA5" s="34" t="s">
        <v>17</v>
      </c>
      <c r="AB5" s="17">
        <f t="shared" si="0"/>
        <v>0</v>
      </c>
      <c r="AC5" s="29">
        <v>84</v>
      </c>
      <c r="AD5" s="2">
        <f t="shared" si="1"/>
        <v>7</v>
      </c>
      <c r="AE5" s="2">
        <f t="shared" si="2"/>
        <v>0</v>
      </c>
      <c r="AG5" s="35"/>
      <c r="AN5" s="30">
        <f>SUM(AN1:AN4)</f>
        <v>0.25</v>
      </c>
      <c r="AO5" s="30" t="s">
        <v>382</v>
      </c>
    </row>
    <row r="6" spans="1:42" x14ac:dyDescent="0.35">
      <c r="A6" s="158">
        <v>1</v>
      </c>
      <c r="B6" s="143" t="s">
        <v>16</v>
      </c>
      <c r="C6" s="209" t="s">
        <v>352</v>
      </c>
      <c r="D6" s="170">
        <v>16</v>
      </c>
      <c r="E6" s="288"/>
      <c r="F6" s="89"/>
      <c r="G6" s="89"/>
      <c r="H6" s="89"/>
      <c r="I6" s="89"/>
      <c r="J6" s="89"/>
      <c r="K6" s="89"/>
      <c r="L6" s="89"/>
      <c r="M6" s="89"/>
      <c r="N6" s="89"/>
      <c r="O6" s="104"/>
      <c r="P6" s="104"/>
      <c r="Q6" s="104"/>
      <c r="R6" s="89"/>
      <c r="S6" s="89"/>
      <c r="T6" s="89"/>
      <c r="U6" s="89"/>
      <c r="V6" s="89"/>
      <c r="W6" s="89"/>
      <c r="X6" s="104"/>
      <c r="Y6" s="104"/>
      <c r="Z6" s="105"/>
      <c r="AA6" s="34" t="s">
        <v>17</v>
      </c>
      <c r="AB6" s="17">
        <f t="shared" si="0"/>
        <v>0</v>
      </c>
      <c r="AC6" s="29">
        <v>84</v>
      </c>
      <c r="AD6" s="2">
        <f t="shared" si="1"/>
        <v>7</v>
      </c>
      <c r="AE6" s="2">
        <f t="shared" si="2"/>
        <v>0</v>
      </c>
      <c r="AG6" s="35"/>
    </row>
    <row r="7" spans="1:42" x14ac:dyDescent="0.35">
      <c r="A7" s="159">
        <v>1</v>
      </c>
      <c r="B7" s="143" t="s">
        <v>16</v>
      </c>
      <c r="C7" s="226" t="s">
        <v>271</v>
      </c>
      <c r="D7" s="170">
        <v>15</v>
      </c>
      <c r="E7" s="288"/>
      <c r="F7" s="90"/>
      <c r="G7" s="90"/>
      <c r="H7" s="90"/>
      <c r="I7" s="90"/>
      <c r="J7" s="90"/>
      <c r="K7" s="90"/>
      <c r="L7" s="90"/>
      <c r="M7" s="88"/>
      <c r="N7" s="90"/>
      <c r="O7" s="263"/>
      <c r="P7" s="106"/>
      <c r="Q7" s="263"/>
      <c r="R7" s="90"/>
      <c r="S7" s="89"/>
      <c r="T7" s="90"/>
      <c r="U7" s="88"/>
      <c r="V7" s="89"/>
      <c r="W7" s="89"/>
      <c r="X7" s="106"/>
      <c r="Y7" s="106"/>
      <c r="Z7" s="107"/>
      <c r="AA7" s="34" t="s">
        <v>17</v>
      </c>
      <c r="AB7" s="17">
        <f t="shared" si="0"/>
        <v>0</v>
      </c>
      <c r="AC7" s="29">
        <v>84</v>
      </c>
      <c r="AD7" s="2">
        <f t="shared" si="1"/>
        <v>7</v>
      </c>
      <c r="AE7" s="2">
        <f t="shared" si="2"/>
        <v>0</v>
      </c>
      <c r="AG7" s="35"/>
    </row>
    <row r="8" spans="1:42" x14ac:dyDescent="0.35">
      <c r="A8" s="159">
        <v>1</v>
      </c>
      <c r="B8" s="132" t="s">
        <v>14</v>
      </c>
      <c r="C8" s="207" t="s">
        <v>270</v>
      </c>
      <c r="D8" s="171">
        <v>18</v>
      </c>
      <c r="E8" s="288"/>
      <c r="F8" s="90">
        <v>135</v>
      </c>
      <c r="G8" s="90"/>
      <c r="H8" s="90">
        <v>135</v>
      </c>
      <c r="I8" s="90">
        <v>135</v>
      </c>
      <c r="J8" s="90"/>
      <c r="K8" s="88">
        <v>135</v>
      </c>
      <c r="L8" s="88"/>
      <c r="M8" s="90"/>
      <c r="N8" s="90"/>
      <c r="O8" s="263"/>
      <c r="P8" s="263"/>
      <c r="Q8" s="263"/>
      <c r="R8" s="90"/>
      <c r="S8" s="90"/>
      <c r="T8" s="88"/>
      <c r="U8" s="90"/>
      <c r="V8" s="90"/>
      <c r="W8" s="88"/>
      <c r="X8" s="106"/>
      <c r="Y8" s="106"/>
      <c r="Z8" s="107"/>
      <c r="AA8" s="34" t="s">
        <v>14</v>
      </c>
      <c r="AB8" s="17">
        <f t="shared" si="0"/>
        <v>540</v>
      </c>
      <c r="AC8" s="29">
        <v>84</v>
      </c>
      <c r="AD8" s="2">
        <f t="shared" si="1"/>
        <v>7</v>
      </c>
      <c r="AE8" s="2">
        <f t="shared" si="2"/>
        <v>30</v>
      </c>
      <c r="AG8" s="35"/>
    </row>
    <row r="9" spans="1:42" x14ac:dyDescent="0.35">
      <c r="A9" s="159">
        <v>1</v>
      </c>
      <c r="B9" s="132" t="s">
        <v>14</v>
      </c>
      <c r="C9" s="207" t="s">
        <v>267</v>
      </c>
      <c r="D9" s="171">
        <v>18</v>
      </c>
      <c r="E9" s="288"/>
      <c r="F9" s="90"/>
      <c r="G9" s="90"/>
      <c r="H9" s="90"/>
      <c r="I9" s="90"/>
      <c r="J9" s="90"/>
      <c r="K9" s="90"/>
      <c r="L9" s="88">
        <v>135</v>
      </c>
      <c r="M9" s="90"/>
      <c r="N9" s="88">
        <v>135</v>
      </c>
      <c r="O9" s="106"/>
      <c r="P9" s="106"/>
      <c r="Q9" s="263"/>
      <c r="R9" s="90"/>
      <c r="S9" s="88"/>
      <c r="T9" s="88"/>
      <c r="U9" s="88"/>
      <c r="V9" s="88"/>
      <c r="W9" s="88"/>
      <c r="X9" s="106"/>
      <c r="Y9" s="106"/>
      <c r="Z9" s="107"/>
      <c r="AA9" s="34" t="s">
        <v>14</v>
      </c>
      <c r="AB9" s="17">
        <f t="shared" si="0"/>
        <v>270</v>
      </c>
      <c r="AC9" s="29">
        <v>84</v>
      </c>
      <c r="AD9" s="2">
        <f t="shared" si="1"/>
        <v>7</v>
      </c>
      <c r="AE9" s="2">
        <f t="shared" si="2"/>
        <v>15</v>
      </c>
      <c r="AG9" s="35"/>
    </row>
    <row r="10" spans="1:42" x14ac:dyDescent="0.35">
      <c r="A10" s="159">
        <v>1</v>
      </c>
      <c r="B10" s="132" t="s">
        <v>14</v>
      </c>
      <c r="C10" s="207" t="s">
        <v>269</v>
      </c>
      <c r="D10" s="171">
        <v>17</v>
      </c>
      <c r="E10" s="288"/>
      <c r="F10" s="88"/>
      <c r="G10" s="88"/>
      <c r="H10" s="88"/>
      <c r="I10" s="88"/>
      <c r="J10" s="88"/>
      <c r="K10" s="88"/>
      <c r="L10" s="88"/>
      <c r="M10" s="88"/>
      <c r="N10" s="88"/>
      <c r="O10" s="106"/>
      <c r="P10" s="106"/>
      <c r="Q10" s="106"/>
      <c r="R10" s="88"/>
      <c r="S10" s="88"/>
      <c r="T10" s="88"/>
      <c r="U10" s="88"/>
      <c r="V10" s="88"/>
      <c r="W10" s="88"/>
      <c r="X10" s="106"/>
      <c r="Y10" s="106"/>
      <c r="Z10" s="107"/>
      <c r="AA10" s="34" t="s">
        <v>14</v>
      </c>
      <c r="AB10" s="17">
        <f t="shared" si="0"/>
        <v>0</v>
      </c>
      <c r="AC10" s="29">
        <v>84</v>
      </c>
      <c r="AD10" s="2">
        <f t="shared" si="1"/>
        <v>7</v>
      </c>
      <c r="AE10" s="2">
        <f t="shared" si="2"/>
        <v>0</v>
      </c>
      <c r="AG10" s="35"/>
    </row>
    <row r="11" spans="1:42" x14ac:dyDescent="0.35">
      <c r="A11" s="160">
        <v>1</v>
      </c>
      <c r="B11" s="143" t="s">
        <v>358</v>
      </c>
      <c r="C11" s="226" t="s">
        <v>330</v>
      </c>
      <c r="D11" s="183">
        <v>15</v>
      </c>
      <c r="E11" s="288"/>
      <c r="F11" s="91"/>
      <c r="G11" s="91"/>
      <c r="H11" s="91"/>
      <c r="I11" s="91"/>
      <c r="J11" s="91"/>
      <c r="K11" s="91"/>
      <c r="L11" s="91"/>
      <c r="M11" s="91"/>
      <c r="N11" s="91"/>
      <c r="O11" s="108"/>
      <c r="P11" s="108"/>
      <c r="Q11" s="108"/>
      <c r="R11" s="91"/>
      <c r="S11" s="91"/>
      <c r="T11" s="91"/>
      <c r="U11" s="91"/>
      <c r="V11" s="91"/>
      <c r="W11" s="91"/>
      <c r="X11" s="108"/>
      <c r="Y11" s="108"/>
      <c r="Z11" s="109"/>
      <c r="AA11" s="34" t="s">
        <v>17</v>
      </c>
      <c r="AB11" s="17">
        <f t="shared" si="0"/>
        <v>0</v>
      </c>
      <c r="AC11" s="29">
        <v>84</v>
      </c>
      <c r="AD11" s="2">
        <f t="shared" si="1"/>
        <v>7</v>
      </c>
      <c r="AE11" s="2">
        <f t="shared" si="2"/>
        <v>0</v>
      </c>
      <c r="AF11" s="86"/>
      <c r="AG11" s="35"/>
    </row>
    <row r="12" spans="1:42" x14ac:dyDescent="0.35">
      <c r="A12" s="159">
        <v>1</v>
      </c>
      <c r="B12" s="143" t="s">
        <v>20</v>
      </c>
      <c r="C12" s="226" t="s">
        <v>21</v>
      </c>
      <c r="D12" s="183"/>
      <c r="E12" s="288"/>
      <c r="F12" s="91"/>
      <c r="G12" s="91"/>
      <c r="H12" s="91"/>
      <c r="I12" s="91"/>
      <c r="J12" s="91"/>
      <c r="K12" s="91"/>
      <c r="L12" s="91"/>
      <c r="M12" s="91"/>
      <c r="N12" s="91"/>
      <c r="O12" s="108"/>
      <c r="P12" s="108"/>
      <c r="Q12" s="108"/>
      <c r="R12" s="91"/>
      <c r="S12" s="91"/>
      <c r="T12" s="91"/>
      <c r="U12" s="91"/>
      <c r="V12" s="91"/>
      <c r="W12" s="91"/>
      <c r="X12" s="108"/>
      <c r="Y12" s="108"/>
      <c r="Z12" s="109"/>
      <c r="AA12" s="34" t="s">
        <v>17</v>
      </c>
      <c r="AB12" s="17">
        <f t="shared" si="0"/>
        <v>0</v>
      </c>
      <c r="AC12" s="29"/>
      <c r="AD12" s="2">
        <f t="shared" si="1"/>
        <v>0</v>
      </c>
      <c r="AE12" s="2">
        <f t="shared" si="2"/>
        <v>0</v>
      </c>
      <c r="AG12" s="35"/>
    </row>
    <row r="13" spans="1:42" x14ac:dyDescent="0.35">
      <c r="A13" s="159">
        <v>1</v>
      </c>
      <c r="B13" s="143" t="s">
        <v>384</v>
      </c>
      <c r="C13" s="226" t="s">
        <v>386</v>
      </c>
      <c r="D13" s="184"/>
      <c r="E13" s="288"/>
      <c r="F13" s="88"/>
      <c r="G13" s="88"/>
      <c r="H13" s="88"/>
      <c r="I13" s="88"/>
      <c r="J13" s="88"/>
      <c r="K13" s="88"/>
      <c r="L13" s="88"/>
      <c r="M13" s="88"/>
      <c r="N13" s="88"/>
      <c r="O13" s="106"/>
      <c r="P13" s="106"/>
      <c r="Q13" s="106"/>
      <c r="R13" s="88"/>
      <c r="S13" s="88"/>
      <c r="T13" s="88"/>
      <c r="U13" s="88"/>
      <c r="V13" s="88"/>
      <c r="W13" s="88"/>
      <c r="X13" s="106"/>
      <c r="Y13" s="106"/>
      <c r="Z13" s="107"/>
      <c r="AA13" s="34"/>
      <c r="AB13" s="17">
        <f t="shared" si="0"/>
        <v>0</v>
      </c>
      <c r="AC13" s="29"/>
      <c r="AD13" s="2">
        <f t="shared" si="1"/>
        <v>0</v>
      </c>
      <c r="AE13" s="2">
        <f t="shared" si="2"/>
        <v>0</v>
      </c>
      <c r="AG13" s="35"/>
    </row>
    <row r="14" spans="1:42" ht="15" thickBot="1" x14ac:dyDescent="0.4">
      <c r="A14" s="164">
        <v>1</v>
      </c>
      <c r="B14" s="242" t="s">
        <v>385</v>
      </c>
      <c r="C14" s="243" t="s">
        <v>387</v>
      </c>
      <c r="D14" s="244"/>
      <c r="E14" s="289"/>
      <c r="F14" s="256"/>
      <c r="G14" s="256"/>
      <c r="H14" s="256"/>
      <c r="I14" s="256"/>
      <c r="J14" s="256"/>
      <c r="K14" s="256"/>
      <c r="L14" s="256"/>
      <c r="M14" s="256"/>
      <c r="N14" s="256"/>
      <c r="O14" s="116"/>
      <c r="P14" s="116"/>
      <c r="Q14" s="116"/>
      <c r="R14" s="256"/>
      <c r="S14" s="256"/>
      <c r="T14" s="256"/>
      <c r="U14" s="256"/>
      <c r="V14" s="256"/>
      <c r="W14" s="256"/>
      <c r="X14" s="116"/>
      <c r="Y14" s="116"/>
      <c r="Z14" s="117"/>
      <c r="AA14" s="34"/>
      <c r="AB14" s="17">
        <f t="shared" si="0"/>
        <v>0</v>
      </c>
      <c r="AC14" s="29"/>
      <c r="AD14" s="2">
        <f t="shared" si="1"/>
        <v>0</v>
      </c>
      <c r="AE14" s="2">
        <f t="shared" si="2"/>
        <v>0</v>
      </c>
      <c r="AG14" s="35"/>
    </row>
    <row r="15" spans="1:42" x14ac:dyDescent="0.35">
      <c r="A15" s="158">
        <v>2</v>
      </c>
      <c r="B15" s="141" t="s">
        <v>14</v>
      </c>
      <c r="C15" s="235" t="s">
        <v>15</v>
      </c>
      <c r="D15" s="181">
        <v>16</v>
      </c>
      <c r="E15" s="288"/>
      <c r="F15" s="89"/>
      <c r="G15" s="89"/>
      <c r="H15" s="89"/>
      <c r="I15" s="89"/>
      <c r="J15" s="89"/>
      <c r="K15" s="89"/>
      <c r="L15" s="89"/>
      <c r="M15" s="89"/>
      <c r="N15" s="89"/>
      <c r="O15" s="104"/>
      <c r="P15" s="104"/>
      <c r="Q15" s="104"/>
      <c r="R15" s="89"/>
      <c r="S15" s="89"/>
      <c r="T15" s="89"/>
      <c r="U15" s="89"/>
      <c r="V15" s="89"/>
      <c r="W15" s="89"/>
      <c r="X15" s="104"/>
      <c r="Y15" s="104"/>
      <c r="Z15" s="105"/>
      <c r="AA15" s="34" t="s">
        <v>14</v>
      </c>
      <c r="AB15" s="17">
        <f t="shared" si="0"/>
        <v>0</v>
      </c>
      <c r="AC15" s="29">
        <v>84</v>
      </c>
      <c r="AD15" s="2">
        <f t="shared" si="1"/>
        <v>7</v>
      </c>
      <c r="AE15" s="2">
        <f t="shared" si="2"/>
        <v>0</v>
      </c>
      <c r="AG15" s="35"/>
    </row>
    <row r="16" spans="1:42" x14ac:dyDescent="0.35">
      <c r="A16" s="159">
        <v>2</v>
      </c>
      <c r="B16" s="132" t="s">
        <v>14</v>
      </c>
      <c r="C16" s="207" t="s">
        <v>267</v>
      </c>
      <c r="D16" s="171">
        <v>16</v>
      </c>
      <c r="E16" s="290"/>
      <c r="F16" s="88"/>
      <c r="G16" s="88"/>
      <c r="H16" s="88"/>
      <c r="I16" s="88"/>
      <c r="J16" s="88"/>
      <c r="K16" s="88"/>
      <c r="L16" s="88"/>
      <c r="M16" s="88"/>
      <c r="N16" s="88"/>
      <c r="O16" s="106"/>
      <c r="P16" s="106"/>
      <c r="Q16" s="106"/>
      <c r="R16" s="88"/>
      <c r="S16" s="88"/>
      <c r="T16" s="88"/>
      <c r="U16" s="88"/>
      <c r="V16" s="88"/>
      <c r="W16" s="88"/>
      <c r="X16" s="106"/>
      <c r="Y16" s="106"/>
      <c r="Z16" s="107"/>
      <c r="AA16" s="34" t="s">
        <v>14</v>
      </c>
      <c r="AB16" s="17">
        <f t="shared" si="0"/>
        <v>0</v>
      </c>
      <c r="AC16" s="29">
        <v>84</v>
      </c>
      <c r="AD16" s="2">
        <f t="shared" si="1"/>
        <v>7</v>
      </c>
      <c r="AE16" s="2">
        <f t="shared" si="2"/>
        <v>0</v>
      </c>
      <c r="AG16" s="35"/>
      <c r="AH16" s="36"/>
    </row>
    <row r="17" spans="1:36" x14ac:dyDescent="0.35">
      <c r="A17" s="159">
        <v>2</v>
      </c>
      <c r="B17" s="132" t="s">
        <v>22</v>
      </c>
      <c r="C17" s="207" t="s">
        <v>23</v>
      </c>
      <c r="D17" s="171">
        <v>17</v>
      </c>
      <c r="E17" s="290"/>
      <c r="F17" s="88"/>
      <c r="G17" s="88"/>
      <c r="H17" s="88"/>
      <c r="I17" s="88"/>
      <c r="J17" s="88"/>
      <c r="K17" s="88"/>
      <c r="L17" s="88"/>
      <c r="M17" s="88"/>
      <c r="N17" s="88"/>
      <c r="O17" s="106"/>
      <c r="P17" s="106"/>
      <c r="Q17" s="106"/>
      <c r="R17" s="88"/>
      <c r="S17" s="88"/>
      <c r="T17" s="88"/>
      <c r="U17" s="88"/>
      <c r="V17" s="88"/>
      <c r="W17" s="88"/>
      <c r="X17" s="106"/>
      <c r="Y17" s="106"/>
      <c r="Z17" s="107"/>
      <c r="AA17" s="34" t="s">
        <v>24</v>
      </c>
      <c r="AB17" s="17">
        <f t="shared" si="0"/>
        <v>0</v>
      </c>
      <c r="AC17" s="29">
        <v>60</v>
      </c>
      <c r="AD17" s="2">
        <f t="shared" si="1"/>
        <v>5</v>
      </c>
      <c r="AE17" s="2">
        <f t="shared" si="2"/>
        <v>0</v>
      </c>
      <c r="AF17" s="86"/>
      <c r="AH17" s="29"/>
      <c r="AJ17" s="28"/>
    </row>
    <row r="18" spans="1:36" x14ac:dyDescent="0.35">
      <c r="A18" s="159">
        <v>2</v>
      </c>
      <c r="B18" s="132" t="s">
        <v>22</v>
      </c>
      <c r="C18" s="207" t="s">
        <v>268</v>
      </c>
      <c r="D18" s="171">
        <v>9</v>
      </c>
      <c r="E18" s="290"/>
      <c r="F18" s="88"/>
      <c r="G18" s="88"/>
      <c r="H18" s="88"/>
      <c r="I18" s="88"/>
      <c r="J18" s="88"/>
      <c r="K18" s="88"/>
      <c r="L18" s="88"/>
      <c r="M18" s="91"/>
      <c r="N18" s="91"/>
      <c r="O18" s="106"/>
      <c r="P18" s="106"/>
      <c r="Q18" s="106"/>
      <c r="R18" s="88"/>
      <c r="S18" s="88"/>
      <c r="T18" s="88"/>
      <c r="U18" s="88"/>
      <c r="V18" s="88"/>
      <c r="W18" s="88"/>
      <c r="X18" s="106"/>
      <c r="Y18" s="106"/>
      <c r="Z18" s="107"/>
      <c r="AA18" s="34" t="s">
        <v>24</v>
      </c>
      <c r="AB18" s="17">
        <f t="shared" si="0"/>
        <v>0</v>
      </c>
      <c r="AC18" s="29">
        <v>60</v>
      </c>
      <c r="AD18" s="2">
        <f t="shared" si="1"/>
        <v>5</v>
      </c>
      <c r="AE18" s="2">
        <f t="shared" si="2"/>
        <v>0</v>
      </c>
      <c r="AG18" s="35"/>
      <c r="AH18" s="28"/>
      <c r="AJ18" s="28"/>
    </row>
    <row r="19" spans="1:36" x14ac:dyDescent="0.35">
      <c r="A19" s="160">
        <v>2</v>
      </c>
      <c r="B19" s="133" t="s">
        <v>25</v>
      </c>
      <c r="C19" s="227" t="s">
        <v>343</v>
      </c>
      <c r="D19" s="173">
        <v>9</v>
      </c>
      <c r="E19" s="290"/>
      <c r="F19" s="91"/>
      <c r="G19" s="91"/>
      <c r="H19" s="91"/>
      <c r="I19" s="91"/>
      <c r="J19" s="91"/>
      <c r="K19" s="91"/>
      <c r="L19" s="91"/>
      <c r="M19" s="91"/>
      <c r="N19" s="91"/>
      <c r="O19" s="108"/>
      <c r="P19" s="106"/>
      <c r="Q19" s="106"/>
      <c r="R19" s="91"/>
      <c r="S19" s="91"/>
      <c r="T19" s="91"/>
      <c r="U19" s="91"/>
      <c r="V19" s="91"/>
      <c r="W19" s="91"/>
      <c r="X19" s="108"/>
      <c r="Y19" s="108"/>
      <c r="Z19" s="109"/>
      <c r="AA19" s="34" t="s">
        <v>25</v>
      </c>
      <c r="AB19" s="17">
        <f t="shared" si="0"/>
        <v>0</v>
      </c>
      <c r="AC19" s="29">
        <v>60</v>
      </c>
      <c r="AD19" s="2">
        <f t="shared" si="1"/>
        <v>5</v>
      </c>
      <c r="AE19" s="2">
        <f t="shared" si="2"/>
        <v>0</v>
      </c>
      <c r="AG19" s="35"/>
      <c r="AH19" s="28"/>
      <c r="AJ19" s="28"/>
    </row>
    <row r="20" spans="1:36" x14ac:dyDescent="0.35">
      <c r="A20" s="160">
        <v>2</v>
      </c>
      <c r="B20" s="133" t="s">
        <v>25</v>
      </c>
      <c r="C20" s="227" t="s">
        <v>26</v>
      </c>
      <c r="D20" s="173">
        <v>18</v>
      </c>
      <c r="E20" s="290"/>
      <c r="F20" s="91"/>
      <c r="G20" s="91"/>
      <c r="H20" s="91"/>
      <c r="I20" s="91"/>
      <c r="J20" s="91"/>
      <c r="K20" s="91"/>
      <c r="L20" s="91"/>
      <c r="M20" s="91"/>
      <c r="N20" s="91"/>
      <c r="O20" s="108"/>
      <c r="P20" s="108"/>
      <c r="Q20" s="108"/>
      <c r="R20" s="91"/>
      <c r="S20" s="91"/>
      <c r="T20" s="91"/>
      <c r="U20" s="91"/>
      <c r="V20" s="91"/>
      <c r="W20" s="91"/>
      <c r="X20" s="108"/>
      <c r="Y20" s="108"/>
      <c r="Z20" s="109"/>
      <c r="AA20" s="34" t="s">
        <v>25</v>
      </c>
      <c r="AB20" s="17">
        <f t="shared" si="0"/>
        <v>0</v>
      </c>
      <c r="AC20" s="29">
        <v>60</v>
      </c>
      <c r="AD20" s="2">
        <f t="shared" si="1"/>
        <v>5</v>
      </c>
      <c r="AE20" s="2">
        <f t="shared" si="2"/>
        <v>0</v>
      </c>
      <c r="AG20" s="35"/>
      <c r="AH20" s="28"/>
      <c r="AJ20" s="28"/>
    </row>
    <row r="21" spans="1:36" ht="15" thickBot="1" x14ac:dyDescent="0.4">
      <c r="A21" s="160">
        <v>2</v>
      </c>
      <c r="B21" s="133" t="s">
        <v>22</v>
      </c>
      <c r="C21" s="227" t="s">
        <v>359</v>
      </c>
      <c r="D21" s="173">
        <v>18</v>
      </c>
      <c r="E21" s="290"/>
      <c r="F21" s="91"/>
      <c r="G21" s="91"/>
      <c r="H21" s="91"/>
      <c r="I21" s="91"/>
      <c r="J21" s="91"/>
      <c r="K21" s="91"/>
      <c r="L21" s="91"/>
      <c r="M21" s="91"/>
      <c r="N21" s="91"/>
      <c r="O21" s="108"/>
      <c r="P21" s="108"/>
      <c r="Q21" s="108"/>
      <c r="R21" s="91"/>
      <c r="S21" s="91"/>
      <c r="T21" s="91"/>
      <c r="U21" s="91"/>
      <c r="V21" s="91"/>
      <c r="W21" s="91"/>
      <c r="X21" s="108"/>
      <c r="Y21" s="108"/>
      <c r="Z21" s="109"/>
      <c r="AA21" s="34" t="s">
        <v>25</v>
      </c>
      <c r="AB21" s="17">
        <f t="shared" si="0"/>
        <v>0</v>
      </c>
      <c r="AC21" s="29">
        <v>60</v>
      </c>
      <c r="AD21" s="2">
        <f t="shared" si="1"/>
        <v>5</v>
      </c>
      <c r="AE21" s="2">
        <f t="shared" si="2"/>
        <v>0</v>
      </c>
      <c r="AG21" s="35"/>
      <c r="AH21" s="28"/>
      <c r="AJ21" s="28"/>
    </row>
    <row r="22" spans="1:36" x14ac:dyDescent="0.35">
      <c r="A22" s="157">
        <v>3</v>
      </c>
      <c r="B22" s="144" t="s">
        <v>47</v>
      </c>
      <c r="C22" s="221" t="s">
        <v>503</v>
      </c>
      <c r="D22" s="185">
        <v>17</v>
      </c>
      <c r="E22" s="292"/>
      <c r="F22" s="87"/>
      <c r="G22" s="87"/>
      <c r="H22" s="87"/>
      <c r="I22" s="87"/>
      <c r="J22" s="87"/>
      <c r="K22" s="87"/>
      <c r="L22" s="87"/>
      <c r="M22" s="87"/>
      <c r="N22" s="87"/>
      <c r="O22" s="102"/>
      <c r="P22" s="102"/>
      <c r="Q22" s="102"/>
      <c r="R22" s="87"/>
      <c r="S22" s="87"/>
      <c r="T22" s="87"/>
      <c r="U22" s="87"/>
      <c r="V22" s="87"/>
      <c r="W22" s="87"/>
      <c r="X22" s="102"/>
      <c r="Y22" s="102"/>
      <c r="Z22" s="103"/>
      <c r="AA22" s="34" t="s">
        <v>35</v>
      </c>
      <c r="AB22" s="17">
        <f t="shared" si="0"/>
        <v>0</v>
      </c>
      <c r="AC22" s="29">
        <v>84</v>
      </c>
      <c r="AD22" s="2">
        <f t="shared" si="1"/>
        <v>7</v>
      </c>
      <c r="AE22" s="2">
        <f t="shared" si="2"/>
        <v>0</v>
      </c>
      <c r="AG22" s="35"/>
      <c r="AH22" s="28"/>
      <c r="AJ22" s="28"/>
    </row>
    <row r="23" spans="1:36" ht="15" thickBot="1" x14ac:dyDescent="0.4">
      <c r="A23" s="162">
        <v>3</v>
      </c>
      <c r="B23" s="145" t="s">
        <v>46</v>
      </c>
      <c r="C23" s="222" t="s">
        <v>515</v>
      </c>
      <c r="D23" s="186">
        <v>17</v>
      </c>
      <c r="E23" s="291"/>
      <c r="F23" s="92"/>
      <c r="G23" s="92"/>
      <c r="H23" s="92"/>
      <c r="I23" s="92"/>
      <c r="J23" s="92"/>
      <c r="K23" s="92"/>
      <c r="L23" s="92"/>
      <c r="M23" s="92"/>
      <c r="N23" s="92"/>
      <c r="O23" s="112"/>
      <c r="P23" s="112"/>
      <c r="Q23" s="112"/>
      <c r="R23" s="92"/>
      <c r="S23" s="92"/>
      <c r="T23" s="92"/>
      <c r="U23" s="92"/>
      <c r="V23" s="92"/>
      <c r="W23" s="92"/>
      <c r="X23" s="112"/>
      <c r="Y23" s="112"/>
      <c r="Z23" s="113"/>
      <c r="AA23" s="34" t="s">
        <v>35</v>
      </c>
      <c r="AB23" s="17">
        <f t="shared" si="0"/>
        <v>0</v>
      </c>
      <c r="AC23" s="29">
        <v>84</v>
      </c>
      <c r="AD23" s="2">
        <f t="shared" si="1"/>
        <v>7</v>
      </c>
      <c r="AE23" s="2">
        <f t="shared" si="2"/>
        <v>0</v>
      </c>
      <c r="AF23" s="86"/>
      <c r="AG23" s="35"/>
      <c r="AH23" s="28"/>
      <c r="AJ23" s="28"/>
    </row>
    <row r="24" spans="1:36" x14ac:dyDescent="0.35">
      <c r="A24" s="163">
        <v>4</v>
      </c>
      <c r="B24" s="136" t="s">
        <v>462</v>
      </c>
      <c r="C24" s="245" t="s">
        <v>293</v>
      </c>
      <c r="D24" s="246">
        <v>17</v>
      </c>
      <c r="E24" s="287"/>
      <c r="F24" s="87"/>
      <c r="G24" s="87"/>
      <c r="H24" s="87"/>
      <c r="I24" s="87"/>
      <c r="J24" s="87"/>
      <c r="K24" s="87"/>
      <c r="L24" s="87"/>
      <c r="M24" s="87"/>
      <c r="N24" s="93"/>
      <c r="O24" s="114"/>
      <c r="P24" s="114"/>
      <c r="Q24" s="114"/>
      <c r="R24" s="93"/>
      <c r="S24" s="93"/>
      <c r="T24" s="93"/>
      <c r="U24" s="93"/>
      <c r="V24" s="93"/>
      <c r="W24" s="93"/>
      <c r="X24" s="114"/>
      <c r="Y24" s="114"/>
      <c r="Z24" s="115"/>
      <c r="AA24" s="34" t="s">
        <v>35</v>
      </c>
      <c r="AB24" s="17">
        <f t="shared" si="0"/>
        <v>0</v>
      </c>
      <c r="AC24" s="29">
        <v>84</v>
      </c>
      <c r="AD24" s="2">
        <f t="shared" si="1"/>
        <v>7</v>
      </c>
      <c r="AE24" s="2">
        <f t="shared" si="2"/>
        <v>0</v>
      </c>
      <c r="AF24" s="125" t="s">
        <v>466</v>
      </c>
      <c r="AG24" s="35"/>
      <c r="AH24" s="28"/>
      <c r="AJ24" s="28"/>
    </row>
    <row r="25" spans="1:36" x14ac:dyDescent="0.35">
      <c r="A25" s="159">
        <v>4</v>
      </c>
      <c r="B25" s="135" t="s">
        <v>461</v>
      </c>
      <c r="C25" s="223" t="s">
        <v>456</v>
      </c>
      <c r="D25" s="175">
        <v>17</v>
      </c>
      <c r="E25" s="288"/>
      <c r="F25" s="89"/>
      <c r="G25" s="89"/>
      <c r="H25" s="89"/>
      <c r="I25" s="89"/>
      <c r="J25" s="89"/>
      <c r="K25" s="89"/>
      <c r="L25" s="89"/>
      <c r="M25" s="89"/>
      <c r="N25" s="88"/>
      <c r="O25" s="106"/>
      <c r="P25" s="106"/>
      <c r="Q25" s="106"/>
      <c r="R25" s="88"/>
      <c r="S25" s="88"/>
      <c r="T25" s="88"/>
      <c r="U25" s="88"/>
      <c r="V25" s="88"/>
      <c r="W25" s="88"/>
      <c r="X25" s="106"/>
      <c r="Y25" s="106"/>
      <c r="Z25" s="107"/>
      <c r="AA25" s="34" t="s">
        <v>35</v>
      </c>
      <c r="AB25" s="17">
        <f t="shared" si="0"/>
        <v>0</v>
      </c>
      <c r="AC25" s="29"/>
      <c r="AD25" s="2"/>
      <c r="AG25" s="35"/>
      <c r="AH25" s="28"/>
      <c r="AJ25" s="28"/>
    </row>
    <row r="26" spans="1:36" x14ac:dyDescent="0.35">
      <c r="A26" s="159">
        <v>4</v>
      </c>
      <c r="B26" s="135" t="s">
        <v>445</v>
      </c>
      <c r="C26" s="209" t="s">
        <v>443</v>
      </c>
      <c r="D26" s="170">
        <v>11</v>
      </c>
      <c r="E26" s="290"/>
      <c r="F26" s="89"/>
      <c r="G26" s="89"/>
      <c r="H26" s="89"/>
      <c r="I26" s="89"/>
      <c r="J26" s="89"/>
      <c r="K26" s="89"/>
      <c r="L26" s="89"/>
      <c r="M26" s="89"/>
      <c r="N26" s="89"/>
      <c r="O26" s="104"/>
      <c r="P26" s="104"/>
      <c r="Q26" s="104"/>
      <c r="R26" s="89"/>
      <c r="S26" s="89"/>
      <c r="T26" s="89"/>
      <c r="U26" s="89"/>
      <c r="V26" s="89"/>
      <c r="W26" s="89"/>
      <c r="X26" s="104"/>
      <c r="Y26" s="104"/>
      <c r="Z26" s="105"/>
      <c r="AA26" s="34" t="s">
        <v>38</v>
      </c>
      <c r="AB26" s="17">
        <f t="shared" si="0"/>
        <v>0</v>
      </c>
      <c r="AC26" s="29">
        <v>84</v>
      </c>
      <c r="AD26" s="2">
        <f t="shared" si="1"/>
        <v>7</v>
      </c>
      <c r="AE26" s="2">
        <f t="shared" si="2"/>
        <v>0</v>
      </c>
      <c r="AG26" s="35"/>
      <c r="AH26" s="28"/>
      <c r="AJ26" s="28"/>
    </row>
    <row r="27" spans="1:36" x14ac:dyDescent="0.35">
      <c r="A27" s="159">
        <v>4</v>
      </c>
      <c r="B27" s="135" t="s">
        <v>36</v>
      </c>
      <c r="C27" s="210" t="s">
        <v>37</v>
      </c>
      <c r="D27" s="175">
        <v>11</v>
      </c>
      <c r="E27" s="290"/>
      <c r="F27" s="88"/>
      <c r="G27" s="88"/>
      <c r="H27" s="88"/>
      <c r="I27" s="88"/>
      <c r="J27" s="88"/>
      <c r="K27" s="88"/>
      <c r="L27" s="88"/>
      <c r="M27" s="88"/>
      <c r="N27" s="88"/>
      <c r="O27" s="106"/>
      <c r="P27" s="106"/>
      <c r="Q27" s="106"/>
      <c r="R27" s="88"/>
      <c r="S27" s="88"/>
      <c r="T27" s="88"/>
      <c r="U27" s="88"/>
      <c r="V27" s="88"/>
      <c r="W27" s="88"/>
      <c r="X27" s="106"/>
      <c r="Y27" s="106"/>
      <c r="Z27" s="107"/>
      <c r="AA27" s="34" t="s">
        <v>38</v>
      </c>
      <c r="AB27" s="17">
        <f t="shared" si="0"/>
        <v>0</v>
      </c>
      <c r="AC27" s="29">
        <v>84</v>
      </c>
      <c r="AD27" s="2">
        <f t="shared" si="1"/>
        <v>7</v>
      </c>
      <c r="AE27" s="2">
        <f t="shared" si="2"/>
        <v>0</v>
      </c>
      <c r="AG27" s="35"/>
      <c r="AH27" s="28"/>
      <c r="AJ27" s="28"/>
    </row>
    <row r="28" spans="1:36" x14ac:dyDescent="0.35">
      <c r="A28" s="159">
        <v>4</v>
      </c>
      <c r="B28" s="135" t="s">
        <v>36</v>
      </c>
      <c r="C28" s="210" t="s">
        <v>37</v>
      </c>
      <c r="D28" s="175">
        <v>11</v>
      </c>
      <c r="E28" s="290"/>
      <c r="F28" s="88"/>
      <c r="G28" s="88"/>
      <c r="H28" s="88"/>
      <c r="I28" s="88"/>
      <c r="J28" s="88"/>
      <c r="K28" s="88"/>
      <c r="L28" s="88"/>
      <c r="M28" s="88"/>
      <c r="N28" s="88"/>
      <c r="O28" s="106"/>
      <c r="P28" s="106"/>
      <c r="Q28" s="106"/>
      <c r="R28" s="88"/>
      <c r="S28" s="88"/>
      <c r="T28" s="88"/>
      <c r="U28" s="88"/>
      <c r="V28" s="88"/>
      <c r="W28" s="88"/>
      <c r="X28" s="106"/>
      <c r="Y28" s="106"/>
      <c r="Z28" s="107"/>
      <c r="AA28" s="34" t="s">
        <v>38</v>
      </c>
      <c r="AB28" s="17">
        <f t="shared" si="0"/>
        <v>0</v>
      </c>
      <c r="AC28" s="29">
        <v>84</v>
      </c>
      <c r="AD28" s="2">
        <f t="shared" si="1"/>
        <v>7</v>
      </c>
      <c r="AE28" s="2">
        <f t="shared" si="2"/>
        <v>0</v>
      </c>
      <c r="AG28" s="35"/>
      <c r="AH28" s="28"/>
      <c r="AJ28" s="28"/>
    </row>
    <row r="29" spans="1:36" x14ac:dyDescent="0.35">
      <c r="A29" s="159">
        <v>4</v>
      </c>
      <c r="B29" s="135" t="s">
        <v>36</v>
      </c>
      <c r="C29" s="210" t="s">
        <v>39</v>
      </c>
      <c r="D29" s="175">
        <v>11</v>
      </c>
      <c r="E29" s="290"/>
      <c r="F29" s="88"/>
      <c r="G29" s="88"/>
      <c r="H29" s="88"/>
      <c r="I29" s="88"/>
      <c r="J29" s="88"/>
      <c r="K29" s="88"/>
      <c r="L29" s="88"/>
      <c r="M29" s="88"/>
      <c r="N29" s="88"/>
      <c r="O29" s="106"/>
      <c r="P29" s="106"/>
      <c r="Q29" s="106"/>
      <c r="S29" s="88"/>
      <c r="T29" s="88"/>
      <c r="U29" s="88"/>
      <c r="V29" s="88"/>
      <c r="W29" s="88"/>
      <c r="X29" s="106"/>
      <c r="Y29" s="106"/>
      <c r="Z29" s="107"/>
      <c r="AA29" s="34" t="s">
        <v>38</v>
      </c>
      <c r="AB29" s="17">
        <f t="shared" si="0"/>
        <v>0</v>
      </c>
      <c r="AC29" s="29">
        <v>84</v>
      </c>
      <c r="AD29" s="2">
        <f t="shared" si="1"/>
        <v>7</v>
      </c>
      <c r="AE29" s="2">
        <f t="shared" si="2"/>
        <v>0</v>
      </c>
      <c r="AG29" s="35"/>
      <c r="AH29" s="28"/>
      <c r="AJ29" s="28"/>
    </row>
    <row r="30" spans="1:36" x14ac:dyDescent="0.35">
      <c r="A30" s="159">
        <v>4</v>
      </c>
      <c r="B30" s="135" t="s">
        <v>43</v>
      </c>
      <c r="C30" s="210" t="s">
        <v>44</v>
      </c>
      <c r="D30" s="175">
        <v>11</v>
      </c>
      <c r="E30" s="290"/>
      <c r="F30" s="88"/>
      <c r="G30" s="88"/>
      <c r="H30" s="88"/>
      <c r="I30" s="88"/>
      <c r="J30" s="88"/>
      <c r="K30" s="88"/>
      <c r="L30" s="88"/>
      <c r="M30" s="88"/>
      <c r="N30" s="88"/>
      <c r="O30" s="106"/>
      <c r="P30" s="106"/>
      <c r="Q30" s="106"/>
      <c r="R30" s="88"/>
      <c r="S30" s="88"/>
      <c r="T30" s="88"/>
      <c r="U30" s="88"/>
      <c r="V30" s="88"/>
      <c r="W30" s="88"/>
      <c r="X30" s="106"/>
      <c r="Y30" s="106"/>
      <c r="Z30" s="107"/>
      <c r="AA30" s="34" t="s">
        <v>38</v>
      </c>
      <c r="AB30" s="17">
        <f t="shared" si="0"/>
        <v>0</v>
      </c>
      <c r="AC30" s="29">
        <v>84</v>
      </c>
      <c r="AD30" s="2">
        <f t="shared" si="1"/>
        <v>7</v>
      </c>
      <c r="AE30" s="2">
        <f t="shared" si="2"/>
        <v>0</v>
      </c>
      <c r="AG30" s="35"/>
      <c r="AH30" s="28"/>
      <c r="AJ30" s="28"/>
    </row>
    <row r="31" spans="1:36" x14ac:dyDescent="0.35">
      <c r="A31" s="159">
        <v>4</v>
      </c>
      <c r="B31" s="146" t="s">
        <v>43</v>
      </c>
      <c r="C31" s="224" t="s">
        <v>45</v>
      </c>
      <c r="D31" s="187">
        <v>11</v>
      </c>
      <c r="E31" s="290"/>
      <c r="F31" s="88"/>
      <c r="G31" s="88"/>
      <c r="H31" s="88"/>
      <c r="I31" s="88"/>
      <c r="J31" s="88"/>
      <c r="K31" s="88"/>
      <c r="L31" s="88"/>
      <c r="M31" s="88"/>
      <c r="N31" s="88"/>
      <c r="O31" s="106"/>
      <c r="P31" s="106"/>
      <c r="Q31" s="106"/>
      <c r="R31" s="88"/>
      <c r="S31" s="88"/>
      <c r="T31" s="88"/>
      <c r="U31" s="88"/>
      <c r="V31" s="88"/>
      <c r="W31" s="88"/>
      <c r="X31" s="106"/>
      <c r="Y31" s="106"/>
      <c r="Z31" s="107"/>
      <c r="AA31" s="34" t="s">
        <v>38</v>
      </c>
      <c r="AB31" s="17">
        <f t="shared" si="0"/>
        <v>0</v>
      </c>
      <c r="AC31" s="29">
        <v>84</v>
      </c>
      <c r="AD31" s="2">
        <f t="shared" si="1"/>
        <v>7</v>
      </c>
      <c r="AE31" s="2">
        <f t="shared" si="2"/>
        <v>0</v>
      </c>
      <c r="AG31" s="35"/>
    </row>
    <row r="32" spans="1:36" x14ac:dyDescent="0.35">
      <c r="A32" s="159">
        <v>4</v>
      </c>
      <c r="B32" s="146" t="s">
        <v>46</v>
      </c>
      <c r="C32" s="224" t="s">
        <v>515</v>
      </c>
      <c r="D32" s="187">
        <v>17</v>
      </c>
      <c r="E32" s="290"/>
      <c r="F32" s="88"/>
      <c r="G32" s="88"/>
      <c r="H32" s="88"/>
      <c r="I32" s="88"/>
      <c r="J32" s="88"/>
      <c r="K32" s="88"/>
      <c r="L32" s="88"/>
      <c r="M32" s="88"/>
      <c r="N32" s="88"/>
      <c r="O32" s="106"/>
      <c r="P32" s="106"/>
      <c r="Q32" s="106"/>
      <c r="R32" s="88"/>
      <c r="S32" s="88"/>
      <c r="T32" s="88"/>
      <c r="U32" s="88"/>
      <c r="V32" s="88"/>
      <c r="W32" s="88"/>
      <c r="X32" s="106"/>
      <c r="Y32" s="106"/>
      <c r="Z32" s="107"/>
      <c r="AA32" s="34" t="s">
        <v>35</v>
      </c>
      <c r="AB32" s="17">
        <f t="shared" si="0"/>
        <v>0</v>
      </c>
      <c r="AC32" s="29">
        <v>84</v>
      </c>
      <c r="AD32" s="2">
        <f t="shared" si="1"/>
        <v>7</v>
      </c>
      <c r="AE32" s="2">
        <f t="shared" si="2"/>
        <v>0</v>
      </c>
      <c r="AG32" s="35"/>
    </row>
    <row r="33" spans="1:33" x14ac:dyDescent="0.35">
      <c r="A33" s="159">
        <v>4</v>
      </c>
      <c r="B33" s="146" t="s">
        <v>463</v>
      </c>
      <c r="C33" s="223" t="s">
        <v>519</v>
      </c>
      <c r="D33" s="187">
        <v>17</v>
      </c>
      <c r="E33" s="290"/>
      <c r="F33" s="88"/>
      <c r="G33" s="88"/>
      <c r="H33" s="88"/>
      <c r="I33" s="88"/>
      <c r="J33" s="88"/>
      <c r="K33" s="88"/>
      <c r="L33" s="88"/>
      <c r="M33" s="88"/>
      <c r="N33" s="88"/>
      <c r="O33" s="106"/>
      <c r="P33" s="106"/>
      <c r="Q33" s="106"/>
      <c r="R33" s="88"/>
      <c r="S33" s="88"/>
      <c r="T33" s="88"/>
      <c r="U33" s="88"/>
      <c r="V33" s="88"/>
      <c r="W33" s="88"/>
      <c r="X33" s="106"/>
      <c r="Y33" s="106"/>
      <c r="Z33" s="107"/>
      <c r="AA33" s="34" t="s">
        <v>35</v>
      </c>
      <c r="AB33" s="17">
        <f t="shared" si="0"/>
        <v>0</v>
      </c>
      <c r="AC33" s="29">
        <v>84</v>
      </c>
      <c r="AD33" s="2">
        <f t="shared" ref="AD33" si="3">AC33/12</f>
        <v>7</v>
      </c>
      <c r="AE33" s="2">
        <f t="shared" ref="AE33" si="4">ROUND(IFERROR(AB33/D33,0),)</f>
        <v>0</v>
      </c>
      <c r="AG33" s="35"/>
    </row>
    <row r="34" spans="1:33" ht="15" thickBot="1" x14ac:dyDescent="0.4">
      <c r="A34" s="162">
        <v>4</v>
      </c>
      <c r="B34" s="147" t="s">
        <v>364</v>
      </c>
      <c r="C34" s="225" t="s">
        <v>503</v>
      </c>
      <c r="D34" s="188">
        <v>17</v>
      </c>
      <c r="E34" s="291"/>
      <c r="F34" s="92"/>
      <c r="G34" s="92"/>
      <c r="H34" s="92"/>
      <c r="I34" s="92"/>
      <c r="J34" s="92"/>
      <c r="K34" s="92"/>
      <c r="L34" s="92"/>
      <c r="M34" s="92"/>
      <c r="N34" s="92"/>
      <c r="O34" s="112"/>
      <c r="P34" s="112"/>
      <c r="Q34" s="112"/>
      <c r="R34" s="92"/>
      <c r="S34" s="92"/>
      <c r="T34" s="92"/>
      <c r="U34" s="92"/>
      <c r="V34" s="92"/>
      <c r="W34" s="92"/>
      <c r="X34" s="112"/>
      <c r="Y34" s="112"/>
      <c r="Z34" s="113"/>
      <c r="AA34" s="34" t="s">
        <v>35</v>
      </c>
      <c r="AB34" s="17">
        <f t="shared" si="0"/>
        <v>0</v>
      </c>
      <c r="AC34" s="29">
        <v>84</v>
      </c>
      <c r="AD34" s="2">
        <f t="shared" si="1"/>
        <v>7</v>
      </c>
      <c r="AE34" s="2">
        <f t="shared" si="2"/>
        <v>0</v>
      </c>
      <c r="AG34" s="35"/>
    </row>
    <row r="35" spans="1:33" x14ac:dyDescent="0.35">
      <c r="A35" s="157">
        <v>5</v>
      </c>
      <c r="B35" s="155" t="s">
        <v>364</v>
      </c>
      <c r="C35" s="238" t="s">
        <v>503</v>
      </c>
      <c r="D35" s="169">
        <v>17</v>
      </c>
      <c r="E35" s="293"/>
      <c r="F35" s="87"/>
      <c r="G35" s="87"/>
      <c r="H35" s="87"/>
      <c r="I35" s="87"/>
      <c r="J35" s="87"/>
      <c r="K35" s="87"/>
      <c r="L35" s="87"/>
      <c r="M35" s="87"/>
      <c r="N35" s="87"/>
      <c r="O35" s="102"/>
      <c r="P35" s="102"/>
      <c r="Q35" s="102"/>
      <c r="R35" s="87"/>
      <c r="S35" s="87"/>
      <c r="T35" s="87"/>
      <c r="U35" s="87"/>
      <c r="V35" s="87"/>
      <c r="W35" s="87"/>
      <c r="X35" s="102"/>
      <c r="Y35" s="102"/>
      <c r="Z35" s="103"/>
      <c r="AA35" s="34" t="s">
        <v>35</v>
      </c>
      <c r="AB35" s="17">
        <f t="shared" si="0"/>
        <v>0</v>
      </c>
      <c r="AC35" s="29">
        <v>84</v>
      </c>
      <c r="AD35" s="2">
        <f t="shared" si="1"/>
        <v>7</v>
      </c>
      <c r="AE35" s="2">
        <f t="shared" si="2"/>
        <v>0</v>
      </c>
      <c r="AG35" s="35"/>
    </row>
    <row r="36" spans="1:33" x14ac:dyDescent="0.35">
      <c r="A36" s="159">
        <v>5</v>
      </c>
      <c r="B36" s="146" t="s">
        <v>46</v>
      </c>
      <c r="C36" s="224" t="s">
        <v>515</v>
      </c>
      <c r="D36" s="175">
        <v>17</v>
      </c>
      <c r="E36" s="300"/>
      <c r="F36" s="88"/>
      <c r="G36" s="88"/>
      <c r="H36" s="88"/>
      <c r="I36" s="88"/>
      <c r="J36" s="88"/>
      <c r="K36" s="88"/>
      <c r="L36" s="88"/>
      <c r="M36" s="88"/>
      <c r="N36" s="88"/>
      <c r="O36" s="106"/>
      <c r="P36" s="106"/>
      <c r="Q36" s="106"/>
      <c r="R36" s="88"/>
      <c r="S36" s="88"/>
      <c r="T36" s="88"/>
      <c r="U36" s="88"/>
      <c r="V36" s="88"/>
      <c r="W36" s="88"/>
      <c r="X36" s="106"/>
      <c r="Y36" s="106"/>
      <c r="Z36" s="107"/>
      <c r="AA36" s="34" t="s">
        <v>35</v>
      </c>
      <c r="AB36" s="17">
        <f t="shared" si="0"/>
        <v>0</v>
      </c>
      <c r="AC36" s="29">
        <v>84</v>
      </c>
      <c r="AD36" s="2">
        <f t="shared" ref="AD36" si="5">AC36/12</f>
        <v>7</v>
      </c>
      <c r="AE36" s="2">
        <f t="shared" ref="AE36" si="6">ROUND(IFERROR(AB36/D36,0),)</f>
        <v>0</v>
      </c>
      <c r="AG36" s="35"/>
    </row>
    <row r="37" spans="1:33" ht="15" thickBot="1" x14ac:dyDescent="0.4">
      <c r="A37" s="164">
        <v>5</v>
      </c>
      <c r="B37" s="250" t="s">
        <v>43</v>
      </c>
      <c r="C37" s="252" t="s">
        <v>45</v>
      </c>
      <c r="D37" s="189">
        <v>9</v>
      </c>
      <c r="E37" s="297"/>
      <c r="F37" s="92"/>
      <c r="G37" s="92"/>
      <c r="H37" s="92"/>
      <c r="I37" s="92"/>
      <c r="J37" s="92"/>
      <c r="K37" s="92"/>
      <c r="L37" s="92"/>
      <c r="M37" s="92"/>
      <c r="N37" s="92"/>
      <c r="O37" s="112"/>
      <c r="P37" s="112"/>
      <c r="Q37" s="112"/>
      <c r="R37" s="92"/>
      <c r="S37" s="256"/>
      <c r="T37" s="256"/>
      <c r="U37" s="256"/>
      <c r="V37" s="256"/>
      <c r="W37" s="256"/>
      <c r="X37" s="116"/>
      <c r="Y37" s="116"/>
      <c r="Z37" s="117"/>
      <c r="AA37" s="251" t="s">
        <v>35</v>
      </c>
      <c r="AB37" s="17">
        <f t="shared" si="0"/>
        <v>0</v>
      </c>
      <c r="AC37" s="29">
        <v>84</v>
      </c>
      <c r="AD37" s="2">
        <f t="shared" si="1"/>
        <v>7</v>
      </c>
      <c r="AE37" s="2">
        <f t="shared" si="2"/>
        <v>0</v>
      </c>
      <c r="AG37" s="35"/>
    </row>
    <row r="38" spans="1:33" x14ac:dyDescent="0.35">
      <c r="A38" s="158">
        <v>6</v>
      </c>
      <c r="B38" s="148" t="s">
        <v>50</v>
      </c>
      <c r="C38" s="208" t="s">
        <v>51</v>
      </c>
      <c r="D38" s="190">
        <v>17</v>
      </c>
      <c r="E38" s="300"/>
      <c r="F38" s="89"/>
      <c r="G38" s="89"/>
      <c r="H38" s="89"/>
      <c r="I38" s="89"/>
      <c r="J38" s="89"/>
      <c r="K38" s="89"/>
      <c r="L38" s="89"/>
      <c r="M38" s="89"/>
      <c r="N38" s="89"/>
      <c r="O38" s="104"/>
      <c r="P38" s="104"/>
      <c r="Q38" s="104"/>
      <c r="R38" s="89"/>
      <c r="S38" s="89"/>
      <c r="T38" s="89"/>
      <c r="U38" s="89"/>
      <c r="V38" s="89"/>
      <c r="W38" s="89"/>
      <c r="X38" s="104"/>
      <c r="Y38" s="104"/>
      <c r="Z38" s="105"/>
      <c r="AA38" s="34" t="s">
        <v>52</v>
      </c>
      <c r="AB38" s="17">
        <f t="shared" si="0"/>
        <v>0</v>
      </c>
      <c r="AC38" s="29">
        <v>96</v>
      </c>
      <c r="AD38" s="2">
        <f t="shared" si="1"/>
        <v>8</v>
      </c>
      <c r="AE38" s="2">
        <f t="shared" si="2"/>
        <v>0</v>
      </c>
      <c r="AG38" s="35"/>
    </row>
    <row r="39" spans="1:33" x14ac:dyDescent="0.35">
      <c r="A39" s="158">
        <v>6</v>
      </c>
      <c r="B39" s="148" t="s">
        <v>465</v>
      </c>
      <c r="C39" s="208" t="s">
        <v>329</v>
      </c>
      <c r="D39" s="190">
        <v>16</v>
      </c>
      <c r="E39" s="294"/>
      <c r="F39" s="89"/>
      <c r="G39" s="89"/>
      <c r="H39" s="89"/>
      <c r="I39" s="89"/>
      <c r="J39" s="89"/>
      <c r="K39" s="89"/>
      <c r="L39" s="89"/>
      <c r="M39" s="89"/>
      <c r="N39" s="89"/>
      <c r="O39" s="104"/>
      <c r="P39" s="104"/>
      <c r="Q39" s="104"/>
      <c r="R39" s="89"/>
      <c r="S39" s="89"/>
      <c r="T39" s="89"/>
      <c r="U39" s="89"/>
      <c r="V39" s="89"/>
      <c r="W39" s="89"/>
      <c r="X39" s="104"/>
      <c r="Y39" s="104"/>
      <c r="Z39" s="105"/>
      <c r="AA39" s="34" t="s">
        <v>52</v>
      </c>
      <c r="AB39" s="17">
        <f t="shared" si="0"/>
        <v>0</v>
      </c>
      <c r="AC39" s="29">
        <v>96</v>
      </c>
      <c r="AD39" s="2">
        <f t="shared" si="1"/>
        <v>8</v>
      </c>
      <c r="AE39" s="2">
        <f t="shared" si="2"/>
        <v>0</v>
      </c>
      <c r="AG39" s="35"/>
    </row>
    <row r="40" spans="1:33" x14ac:dyDescent="0.35">
      <c r="A40" s="158">
        <v>6</v>
      </c>
      <c r="B40" s="148" t="s">
        <v>392</v>
      </c>
      <c r="C40" s="208" t="s">
        <v>380</v>
      </c>
      <c r="D40" s="190">
        <v>17</v>
      </c>
      <c r="E40" s="294"/>
      <c r="F40" s="89"/>
      <c r="G40" s="89"/>
      <c r="H40" s="89"/>
      <c r="I40" s="89"/>
      <c r="J40" s="89"/>
      <c r="K40" s="89"/>
      <c r="L40" s="89"/>
      <c r="M40" s="89"/>
      <c r="N40" s="89"/>
      <c r="O40" s="104"/>
      <c r="P40" s="104"/>
      <c r="Q40" s="104"/>
      <c r="R40" s="89"/>
      <c r="S40" s="89"/>
      <c r="T40" s="89"/>
      <c r="U40" s="89"/>
      <c r="V40" s="89"/>
      <c r="W40" s="89"/>
      <c r="X40" s="104"/>
      <c r="Y40" s="104"/>
      <c r="Z40" s="105"/>
      <c r="AA40" s="34" t="s">
        <v>52</v>
      </c>
      <c r="AB40" s="17">
        <f t="shared" si="0"/>
        <v>0</v>
      </c>
      <c r="AC40" s="29">
        <v>96</v>
      </c>
      <c r="AD40" s="2">
        <f t="shared" si="1"/>
        <v>8</v>
      </c>
      <c r="AE40" s="2">
        <f t="shared" si="2"/>
        <v>0</v>
      </c>
      <c r="AG40" s="35"/>
    </row>
    <row r="41" spans="1:33" x14ac:dyDescent="0.35">
      <c r="A41" s="158">
        <v>6</v>
      </c>
      <c r="B41" s="148" t="s">
        <v>396</v>
      </c>
      <c r="C41" s="208" t="s">
        <v>393</v>
      </c>
      <c r="D41" s="190">
        <v>17</v>
      </c>
      <c r="E41" s="294"/>
      <c r="F41" s="89"/>
      <c r="G41" s="89"/>
      <c r="H41" s="89"/>
      <c r="I41" s="89"/>
      <c r="J41" s="89"/>
      <c r="K41" s="89"/>
      <c r="L41" s="89"/>
      <c r="M41" s="89"/>
      <c r="N41" s="89"/>
      <c r="O41" s="104"/>
      <c r="P41" s="104"/>
      <c r="Q41" s="104"/>
      <c r="R41" s="89"/>
      <c r="S41" s="89"/>
      <c r="T41" s="89"/>
      <c r="U41" s="89"/>
      <c r="V41" s="89"/>
      <c r="W41" s="89"/>
      <c r="X41" s="104"/>
      <c r="Y41" s="104"/>
      <c r="Z41" s="105"/>
      <c r="AA41" s="34" t="s">
        <v>52</v>
      </c>
      <c r="AB41" s="17">
        <f t="shared" si="0"/>
        <v>0</v>
      </c>
      <c r="AC41" s="29">
        <v>96</v>
      </c>
      <c r="AD41" s="2">
        <f t="shared" si="1"/>
        <v>8</v>
      </c>
      <c r="AE41" s="2">
        <f t="shared" si="2"/>
        <v>0</v>
      </c>
      <c r="AG41" s="35"/>
    </row>
    <row r="42" spans="1:33" x14ac:dyDescent="0.35">
      <c r="A42" s="158">
        <v>6</v>
      </c>
      <c r="B42" s="134" t="s">
        <v>53</v>
      </c>
      <c r="C42" s="209" t="s">
        <v>54</v>
      </c>
      <c r="D42" s="170">
        <v>16</v>
      </c>
      <c r="E42" s="294"/>
      <c r="F42" s="89"/>
      <c r="G42" s="89"/>
      <c r="H42" s="89"/>
      <c r="I42" s="89"/>
      <c r="J42" s="89"/>
      <c r="K42" s="89"/>
      <c r="L42" s="89"/>
      <c r="M42" s="89"/>
      <c r="N42" s="89"/>
      <c r="O42" s="104"/>
      <c r="P42" s="104"/>
      <c r="Q42" s="104"/>
      <c r="R42" s="89"/>
      <c r="S42" s="89"/>
      <c r="T42" s="89"/>
      <c r="U42" s="89"/>
      <c r="V42" s="89"/>
      <c r="W42" s="89"/>
      <c r="X42" s="104"/>
      <c r="Y42" s="104"/>
      <c r="Z42" s="105"/>
      <c r="AA42" s="34" t="s">
        <v>53</v>
      </c>
      <c r="AB42" s="17">
        <f t="shared" si="0"/>
        <v>0</v>
      </c>
      <c r="AC42" s="29">
        <v>96</v>
      </c>
      <c r="AD42" s="2">
        <f t="shared" si="1"/>
        <v>8</v>
      </c>
      <c r="AE42" s="2">
        <f t="shared" si="2"/>
        <v>0</v>
      </c>
      <c r="AG42" s="35"/>
    </row>
    <row r="43" spans="1:33" x14ac:dyDescent="0.35">
      <c r="A43" s="159">
        <v>6</v>
      </c>
      <c r="B43" s="135" t="s">
        <v>53</v>
      </c>
      <c r="C43" s="210" t="s">
        <v>55</v>
      </c>
      <c r="D43" s="175">
        <v>16</v>
      </c>
      <c r="E43" s="294"/>
      <c r="F43" s="88"/>
      <c r="G43" s="88"/>
      <c r="H43" s="88"/>
      <c r="I43" s="88"/>
      <c r="J43" s="88"/>
      <c r="K43" s="88"/>
      <c r="L43" s="88"/>
      <c r="M43" s="88"/>
      <c r="N43" s="88"/>
      <c r="O43" s="106"/>
      <c r="P43" s="106"/>
      <c r="Q43" s="106"/>
      <c r="R43" s="88"/>
      <c r="S43" s="88"/>
      <c r="T43" s="88"/>
      <c r="U43" s="88"/>
      <c r="V43" s="88"/>
      <c r="W43" s="88"/>
      <c r="X43" s="106"/>
      <c r="Y43" s="106"/>
      <c r="Z43" s="107"/>
      <c r="AA43" s="34" t="s">
        <v>53</v>
      </c>
      <c r="AB43" s="17">
        <f t="shared" si="0"/>
        <v>0</v>
      </c>
      <c r="AC43" s="29">
        <v>96</v>
      </c>
      <c r="AD43" s="2">
        <f t="shared" si="1"/>
        <v>8</v>
      </c>
      <c r="AE43" s="2">
        <f t="shared" si="2"/>
        <v>0</v>
      </c>
      <c r="AG43" s="35"/>
    </row>
    <row r="44" spans="1:33" ht="15" thickBot="1" x14ac:dyDescent="0.4">
      <c r="A44" s="166">
        <v>6</v>
      </c>
      <c r="B44" s="156" t="s">
        <v>34</v>
      </c>
      <c r="C44" s="239" t="s">
        <v>503</v>
      </c>
      <c r="D44" s="183">
        <v>16</v>
      </c>
      <c r="E44" s="294"/>
      <c r="F44" s="91"/>
      <c r="G44" s="91"/>
      <c r="H44" s="91"/>
      <c r="I44" s="91"/>
      <c r="J44" s="91"/>
      <c r="K44" s="91"/>
      <c r="L44" s="91"/>
      <c r="M44" s="91"/>
      <c r="N44" s="91"/>
      <c r="O44" s="108"/>
      <c r="P44" s="108"/>
      <c r="Q44" s="108"/>
      <c r="R44" s="91"/>
      <c r="S44" s="91"/>
      <c r="T44" s="91"/>
      <c r="U44" s="91"/>
      <c r="V44" s="91"/>
      <c r="W44" s="91"/>
      <c r="X44" s="108"/>
      <c r="Y44" s="108"/>
      <c r="Z44" s="109"/>
      <c r="AA44" s="34" t="s">
        <v>35</v>
      </c>
      <c r="AB44" s="17">
        <f t="shared" si="0"/>
        <v>0</v>
      </c>
      <c r="AC44" s="29">
        <v>84</v>
      </c>
      <c r="AD44" s="2">
        <f t="shared" si="1"/>
        <v>7</v>
      </c>
      <c r="AE44" s="2">
        <f t="shared" si="2"/>
        <v>0</v>
      </c>
      <c r="AG44" s="35"/>
    </row>
    <row r="45" spans="1:33" x14ac:dyDescent="0.35">
      <c r="A45" s="157">
        <v>8</v>
      </c>
      <c r="B45" s="136" t="s">
        <v>22</v>
      </c>
      <c r="C45" s="228" t="s">
        <v>23</v>
      </c>
      <c r="D45" s="169">
        <v>16</v>
      </c>
      <c r="E45" s="287"/>
      <c r="F45" s="87"/>
      <c r="G45" s="87"/>
      <c r="H45" s="87"/>
      <c r="I45" s="87"/>
      <c r="J45" s="87"/>
      <c r="K45" s="87"/>
      <c r="L45" s="87"/>
      <c r="M45" s="87"/>
      <c r="N45" s="87"/>
      <c r="O45" s="102"/>
      <c r="P45" s="102"/>
      <c r="Q45" s="102"/>
      <c r="R45" s="87"/>
      <c r="S45" s="87"/>
      <c r="T45" s="87"/>
      <c r="U45" s="87"/>
      <c r="V45" s="87"/>
      <c r="W45" s="87"/>
      <c r="X45" s="102"/>
      <c r="Y45" s="102"/>
      <c r="Z45" s="103"/>
      <c r="AA45" s="34" t="s">
        <v>24</v>
      </c>
      <c r="AB45" s="17">
        <f t="shared" si="0"/>
        <v>0</v>
      </c>
      <c r="AC45" s="29">
        <v>60</v>
      </c>
      <c r="AD45" s="2">
        <f t="shared" si="1"/>
        <v>5</v>
      </c>
      <c r="AE45" s="2">
        <f t="shared" si="2"/>
        <v>0</v>
      </c>
      <c r="AG45" s="35"/>
    </row>
    <row r="46" spans="1:33" x14ac:dyDescent="0.35">
      <c r="A46" s="159">
        <v>8</v>
      </c>
      <c r="B46" s="149" t="s">
        <v>514</v>
      </c>
      <c r="C46" s="253" t="s">
        <v>30</v>
      </c>
      <c r="D46" s="191">
        <v>13</v>
      </c>
      <c r="E46" s="290"/>
      <c r="F46" s="88"/>
      <c r="G46" s="88"/>
      <c r="H46" s="88"/>
      <c r="I46" s="91"/>
      <c r="J46" s="91"/>
      <c r="K46" s="88"/>
      <c r="L46" s="88"/>
      <c r="M46" s="88"/>
      <c r="N46" s="88"/>
      <c r="O46" s="106"/>
      <c r="P46" s="106"/>
      <c r="Q46" s="106"/>
      <c r="R46" s="95"/>
      <c r="S46" s="88"/>
      <c r="T46" s="88"/>
      <c r="U46" s="95"/>
      <c r="V46" s="88"/>
      <c r="W46" s="88"/>
      <c r="X46" s="106"/>
      <c r="Y46" s="106"/>
      <c r="Z46" s="107"/>
      <c r="AA46" s="34" t="s">
        <v>31</v>
      </c>
      <c r="AB46" s="17">
        <f t="shared" si="0"/>
        <v>0</v>
      </c>
      <c r="AC46" s="29">
        <v>60</v>
      </c>
      <c r="AD46" s="2">
        <f t="shared" si="1"/>
        <v>5</v>
      </c>
      <c r="AE46" s="2">
        <f t="shared" si="2"/>
        <v>0</v>
      </c>
      <c r="AG46" s="35"/>
    </row>
    <row r="47" spans="1:33" x14ac:dyDescent="0.35">
      <c r="A47" s="159">
        <v>8</v>
      </c>
      <c r="B47" s="149" t="s">
        <v>507</v>
      </c>
      <c r="C47" s="253" t="s">
        <v>33</v>
      </c>
      <c r="D47" s="191">
        <v>14</v>
      </c>
      <c r="E47" s="290"/>
      <c r="F47" s="88"/>
      <c r="G47" s="88"/>
      <c r="H47" s="88"/>
      <c r="I47" s="91"/>
      <c r="J47" s="91"/>
      <c r="K47" s="88"/>
      <c r="L47" s="88"/>
      <c r="M47" s="88"/>
      <c r="N47" s="88"/>
      <c r="O47" s="106"/>
      <c r="P47" s="106"/>
      <c r="Q47" s="106"/>
      <c r="R47" s="88"/>
      <c r="S47" s="88"/>
      <c r="T47" s="88"/>
      <c r="U47" s="88"/>
      <c r="V47" s="88"/>
      <c r="W47" s="88"/>
      <c r="X47" s="106"/>
      <c r="Y47" s="106"/>
      <c r="Z47" s="107"/>
      <c r="AA47" s="34" t="s">
        <v>32</v>
      </c>
      <c r="AB47" s="17">
        <f t="shared" si="0"/>
        <v>0</v>
      </c>
      <c r="AC47" s="29">
        <v>60</v>
      </c>
      <c r="AD47" s="2">
        <f t="shared" si="1"/>
        <v>5</v>
      </c>
      <c r="AE47" s="2">
        <f t="shared" si="2"/>
        <v>0</v>
      </c>
      <c r="AG47" s="35"/>
    </row>
    <row r="48" spans="1:33" x14ac:dyDescent="0.35">
      <c r="A48" s="159">
        <v>8</v>
      </c>
      <c r="B48" s="149" t="s">
        <v>70</v>
      </c>
      <c r="C48" s="253" t="s">
        <v>71</v>
      </c>
      <c r="D48" s="191"/>
      <c r="E48" s="290"/>
      <c r="F48" s="88"/>
      <c r="G48" s="88"/>
      <c r="H48" s="88"/>
      <c r="I48" s="88"/>
      <c r="J48" s="88"/>
      <c r="K48" s="88"/>
      <c r="L48" s="88"/>
      <c r="M48" s="88"/>
      <c r="N48" s="88"/>
      <c r="O48" s="106"/>
      <c r="P48" s="106"/>
      <c r="Q48" s="106"/>
      <c r="R48" s="88"/>
      <c r="S48" s="88"/>
      <c r="T48" s="88"/>
      <c r="U48" s="88"/>
      <c r="V48" s="88"/>
      <c r="W48" s="88"/>
      <c r="X48" s="106"/>
      <c r="Y48" s="106"/>
      <c r="Z48" s="107"/>
      <c r="AA48" s="34" t="s">
        <v>72</v>
      </c>
      <c r="AB48" s="17">
        <f t="shared" si="0"/>
        <v>0</v>
      </c>
      <c r="AC48" s="29">
        <v>60</v>
      </c>
      <c r="AD48" s="2">
        <f t="shared" si="1"/>
        <v>5</v>
      </c>
      <c r="AE48" s="2">
        <f t="shared" si="2"/>
        <v>0</v>
      </c>
      <c r="AG48" s="35"/>
    </row>
    <row r="49" spans="1:33" x14ac:dyDescent="0.35">
      <c r="A49" s="159">
        <v>8</v>
      </c>
      <c r="B49" s="135" t="s">
        <v>22</v>
      </c>
      <c r="C49" s="210" t="s">
        <v>73</v>
      </c>
      <c r="D49" s="175">
        <v>16</v>
      </c>
      <c r="E49" s="290"/>
      <c r="F49" s="88"/>
      <c r="G49" s="88"/>
      <c r="H49" s="88"/>
      <c r="I49" s="88"/>
      <c r="J49" s="88"/>
      <c r="K49" s="88"/>
      <c r="L49" s="88"/>
      <c r="M49" s="88"/>
      <c r="N49" s="88"/>
      <c r="O49" s="106"/>
      <c r="P49" s="106"/>
      <c r="Q49" s="106"/>
      <c r="R49" s="88"/>
      <c r="S49" s="88"/>
      <c r="T49" s="88"/>
      <c r="U49" s="88"/>
      <c r="V49" s="88"/>
      <c r="W49" s="88"/>
      <c r="X49" s="106"/>
      <c r="Y49" s="106"/>
      <c r="Z49" s="107"/>
      <c r="AA49" s="34" t="s">
        <v>24</v>
      </c>
      <c r="AB49" s="17">
        <f t="shared" si="0"/>
        <v>0</v>
      </c>
      <c r="AC49" s="29">
        <v>60</v>
      </c>
      <c r="AD49" s="2">
        <f t="shared" si="1"/>
        <v>5</v>
      </c>
      <c r="AE49" s="2">
        <f t="shared" si="2"/>
        <v>0</v>
      </c>
      <c r="AG49" s="35"/>
    </row>
    <row r="50" spans="1:33" x14ac:dyDescent="0.35">
      <c r="A50" s="159">
        <v>8</v>
      </c>
      <c r="B50" s="135" t="s">
        <v>70</v>
      </c>
      <c r="C50" s="210" t="s">
        <v>74</v>
      </c>
      <c r="D50" s="175"/>
      <c r="E50" s="290"/>
      <c r="F50" s="88"/>
      <c r="G50" s="88"/>
      <c r="H50" s="88"/>
      <c r="I50" s="88"/>
      <c r="J50" s="88"/>
      <c r="K50" s="88"/>
      <c r="L50" s="88"/>
      <c r="M50" s="88"/>
      <c r="N50" s="88"/>
      <c r="O50" s="106"/>
      <c r="P50" s="106"/>
      <c r="Q50" s="106"/>
      <c r="R50" s="88"/>
      <c r="S50" s="88"/>
      <c r="T50" s="88"/>
      <c r="U50" s="88"/>
      <c r="V50" s="88"/>
      <c r="W50" s="88"/>
      <c r="X50" s="106"/>
      <c r="Y50" s="106"/>
      <c r="Z50" s="107"/>
      <c r="AA50" s="34" t="s">
        <v>72</v>
      </c>
      <c r="AB50" s="17">
        <f t="shared" si="0"/>
        <v>0</v>
      </c>
      <c r="AC50" s="29">
        <v>60</v>
      </c>
      <c r="AD50" s="2">
        <f t="shared" si="1"/>
        <v>5</v>
      </c>
      <c r="AE50" s="2">
        <f t="shared" si="2"/>
        <v>0</v>
      </c>
      <c r="AG50" s="35"/>
    </row>
    <row r="51" spans="1:33" x14ac:dyDescent="0.35">
      <c r="A51" s="159">
        <v>8</v>
      </c>
      <c r="B51" s="150" t="s">
        <v>375</v>
      </c>
      <c r="C51" s="230" t="s">
        <v>376</v>
      </c>
      <c r="D51" s="192">
        <v>15</v>
      </c>
      <c r="E51" s="290"/>
      <c r="F51" s="88"/>
      <c r="G51" s="88"/>
      <c r="H51" s="88"/>
      <c r="I51" s="88"/>
      <c r="J51" s="88"/>
      <c r="K51" s="88"/>
      <c r="L51" s="88"/>
      <c r="M51" s="88"/>
      <c r="N51" s="88"/>
      <c r="O51" s="106"/>
      <c r="P51" s="106"/>
      <c r="Q51" s="106"/>
      <c r="R51" s="88"/>
      <c r="S51" s="88"/>
      <c r="T51" s="88"/>
      <c r="U51" s="88"/>
      <c r="V51" s="88"/>
      <c r="W51" s="88"/>
      <c r="X51" s="106"/>
      <c r="Y51" s="106"/>
      <c r="Z51" s="107"/>
      <c r="AA51" s="34" t="s">
        <v>75</v>
      </c>
      <c r="AB51" s="17">
        <f t="shared" si="0"/>
        <v>0</v>
      </c>
      <c r="AC51" s="29">
        <v>84</v>
      </c>
      <c r="AD51" s="2">
        <f t="shared" si="1"/>
        <v>7</v>
      </c>
      <c r="AE51" s="2">
        <f t="shared" si="2"/>
        <v>0</v>
      </c>
      <c r="AG51" s="35"/>
    </row>
    <row r="52" spans="1:33" x14ac:dyDescent="0.35">
      <c r="A52" s="159">
        <v>8</v>
      </c>
      <c r="B52" s="135" t="s">
        <v>77</v>
      </c>
      <c r="C52" s="210" t="s">
        <v>78</v>
      </c>
      <c r="D52" s="175">
        <v>17</v>
      </c>
      <c r="E52" s="290"/>
      <c r="F52" s="88"/>
      <c r="G52" s="88"/>
      <c r="H52" s="88"/>
      <c r="I52" s="88"/>
      <c r="J52" s="88"/>
      <c r="K52" s="88"/>
      <c r="L52" s="88"/>
      <c r="M52" s="88"/>
      <c r="N52" s="88"/>
      <c r="O52" s="106"/>
      <c r="P52" s="106"/>
      <c r="Q52" s="106"/>
      <c r="R52" s="88"/>
      <c r="S52" s="88"/>
      <c r="T52" s="88"/>
      <c r="U52" s="88"/>
      <c r="V52" s="88"/>
      <c r="W52" s="88"/>
      <c r="X52" s="106"/>
      <c r="Y52" s="106"/>
      <c r="Z52" s="107"/>
      <c r="AA52" s="34" t="s">
        <v>79</v>
      </c>
      <c r="AB52" s="17">
        <f t="shared" si="0"/>
        <v>0</v>
      </c>
      <c r="AC52" s="29">
        <v>60</v>
      </c>
      <c r="AD52" s="2">
        <f t="shared" si="1"/>
        <v>5</v>
      </c>
      <c r="AE52" s="2">
        <f t="shared" si="2"/>
        <v>0</v>
      </c>
      <c r="AF52" s="86"/>
      <c r="AG52" s="86"/>
    </row>
    <row r="53" spans="1:33" x14ac:dyDescent="0.35">
      <c r="A53" s="159">
        <v>8</v>
      </c>
      <c r="B53" s="135" t="s">
        <v>77</v>
      </c>
      <c r="C53" s="210" t="s">
        <v>80</v>
      </c>
      <c r="D53" s="175">
        <v>16</v>
      </c>
      <c r="E53" s="290"/>
      <c r="F53" s="88"/>
      <c r="G53" s="88"/>
      <c r="H53" s="88"/>
      <c r="I53" s="88"/>
      <c r="J53" s="88"/>
      <c r="K53" s="88"/>
      <c r="L53" s="88"/>
      <c r="M53" s="88"/>
      <c r="N53" s="88"/>
      <c r="O53" s="106"/>
      <c r="P53" s="106"/>
      <c r="Q53" s="106"/>
      <c r="R53" s="88"/>
      <c r="S53" s="88"/>
      <c r="T53" s="88"/>
      <c r="U53" s="88"/>
      <c r="V53" s="88"/>
      <c r="W53" s="88"/>
      <c r="X53" s="106"/>
      <c r="Y53" s="106"/>
      <c r="Z53" s="107"/>
      <c r="AA53" s="34" t="s">
        <v>79</v>
      </c>
      <c r="AB53" s="17">
        <f t="shared" si="0"/>
        <v>0</v>
      </c>
      <c r="AC53" s="29">
        <v>60</v>
      </c>
      <c r="AD53" s="2">
        <f t="shared" si="1"/>
        <v>5</v>
      </c>
      <c r="AE53" s="2">
        <f t="shared" si="2"/>
        <v>0</v>
      </c>
      <c r="AG53" s="35"/>
    </row>
    <row r="54" spans="1:33" ht="13.9" customHeight="1" x14ac:dyDescent="0.35">
      <c r="A54" s="159">
        <v>8</v>
      </c>
      <c r="B54" s="135" t="s">
        <v>81</v>
      </c>
      <c r="C54" s="210" t="s">
        <v>82</v>
      </c>
      <c r="D54" s="175">
        <v>18</v>
      </c>
      <c r="E54" s="290"/>
      <c r="F54" s="88"/>
      <c r="G54" s="88"/>
      <c r="H54" s="88"/>
      <c r="I54" s="88"/>
      <c r="J54" s="88"/>
      <c r="K54" s="88"/>
      <c r="L54" s="88"/>
      <c r="M54" s="88"/>
      <c r="N54" s="88"/>
      <c r="O54" s="106"/>
      <c r="P54" s="106"/>
      <c r="Q54" s="106"/>
      <c r="R54" s="88"/>
      <c r="S54" s="88"/>
      <c r="T54" s="88"/>
      <c r="U54" s="88"/>
      <c r="V54" s="88"/>
      <c r="W54" s="88"/>
      <c r="X54" s="106"/>
      <c r="Y54" s="106"/>
      <c r="Z54" s="107"/>
      <c r="AA54" s="34" t="s">
        <v>81</v>
      </c>
      <c r="AB54" s="17">
        <f t="shared" si="0"/>
        <v>0</v>
      </c>
      <c r="AC54" s="29">
        <v>60</v>
      </c>
      <c r="AD54" s="2">
        <f t="shared" si="1"/>
        <v>5</v>
      </c>
      <c r="AE54" s="2">
        <f t="shared" si="2"/>
        <v>0</v>
      </c>
      <c r="AG54" s="35"/>
    </row>
    <row r="55" spans="1:33" ht="15" thickBot="1" x14ac:dyDescent="0.4">
      <c r="A55" s="162">
        <v>8</v>
      </c>
      <c r="B55" s="138" t="s">
        <v>81</v>
      </c>
      <c r="C55" s="126" t="s">
        <v>83</v>
      </c>
      <c r="D55" s="177">
        <v>18</v>
      </c>
      <c r="E55" s="291"/>
      <c r="F55" s="92"/>
      <c r="G55" s="92"/>
      <c r="H55" s="92"/>
      <c r="I55" s="92"/>
      <c r="J55" s="92"/>
      <c r="K55" s="92"/>
      <c r="L55" s="92"/>
      <c r="M55" s="92"/>
      <c r="N55" s="92"/>
      <c r="O55" s="112"/>
      <c r="P55" s="112"/>
      <c r="Q55" s="112"/>
      <c r="R55" s="92"/>
      <c r="S55" s="92"/>
      <c r="T55" s="92"/>
      <c r="U55" s="92"/>
      <c r="V55" s="92"/>
      <c r="W55" s="92"/>
      <c r="X55" s="112"/>
      <c r="Y55" s="112"/>
      <c r="Z55" s="113"/>
      <c r="AA55" s="34" t="s">
        <v>81</v>
      </c>
      <c r="AB55" s="17">
        <f t="shared" si="0"/>
        <v>0</v>
      </c>
      <c r="AC55" s="29">
        <v>60</v>
      </c>
      <c r="AD55" s="2">
        <f t="shared" si="1"/>
        <v>5</v>
      </c>
      <c r="AE55" s="2">
        <f t="shared" si="2"/>
        <v>0</v>
      </c>
      <c r="AG55" s="35"/>
    </row>
    <row r="56" spans="1:33" x14ac:dyDescent="0.35">
      <c r="A56" s="157">
        <v>9</v>
      </c>
      <c r="B56" s="151" t="s">
        <v>508</v>
      </c>
      <c r="C56" s="231" t="s">
        <v>28</v>
      </c>
      <c r="D56" s="193">
        <v>10</v>
      </c>
      <c r="E56" s="298"/>
      <c r="F56" s="87"/>
      <c r="G56" s="87"/>
      <c r="H56" s="87"/>
      <c r="I56" s="87"/>
      <c r="J56" s="87"/>
      <c r="K56" s="87"/>
      <c r="L56" s="87"/>
      <c r="M56" s="87"/>
      <c r="N56" s="87"/>
      <c r="O56" s="102"/>
      <c r="P56" s="102"/>
      <c r="Q56" s="102"/>
      <c r="R56" s="87"/>
      <c r="S56" s="87"/>
      <c r="T56" s="87"/>
      <c r="U56" s="87"/>
      <c r="V56" s="87"/>
      <c r="W56" s="87"/>
      <c r="X56" s="102"/>
      <c r="Y56" s="102"/>
      <c r="Z56" s="103"/>
      <c r="AA56" s="34" t="s">
        <v>27</v>
      </c>
      <c r="AB56" s="17">
        <f t="shared" si="0"/>
        <v>0</v>
      </c>
      <c r="AC56" s="29">
        <v>60</v>
      </c>
      <c r="AD56" s="2">
        <f t="shared" si="1"/>
        <v>5</v>
      </c>
      <c r="AE56" s="2">
        <f t="shared" si="2"/>
        <v>0</v>
      </c>
      <c r="AG56" s="35"/>
    </row>
    <row r="57" spans="1:33" x14ac:dyDescent="0.35">
      <c r="A57" s="159">
        <v>9</v>
      </c>
      <c r="B57" s="150" t="s">
        <v>84</v>
      </c>
      <c r="C57" s="230" t="s">
        <v>338</v>
      </c>
      <c r="D57" s="192"/>
      <c r="E57" s="299"/>
      <c r="F57" s="88"/>
      <c r="G57" s="88"/>
      <c r="H57" s="88"/>
      <c r="I57" s="88"/>
      <c r="J57" s="88"/>
      <c r="K57" s="88"/>
      <c r="L57" s="88"/>
      <c r="M57" s="88"/>
      <c r="N57" s="88"/>
      <c r="O57" s="106"/>
      <c r="P57" s="106"/>
      <c r="Q57" s="106"/>
      <c r="R57" s="88"/>
      <c r="S57" s="88"/>
      <c r="T57" s="88"/>
      <c r="U57" s="88"/>
      <c r="V57" s="88"/>
      <c r="W57" s="88"/>
      <c r="X57" s="106"/>
      <c r="Y57" s="106"/>
      <c r="Z57" s="107"/>
      <c r="AA57" s="34" t="s">
        <v>27</v>
      </c>
      <c r="AB57" s="17">
        <f t="shared" si="0"/>
        <v>0</v>
      </c>
      <c r="AC57" s="29"/>
      <c r="AD57" s="2">
        <f t="shared" si="1"/>
        <v>0</v>
      </c>
      <c r="AE57" s="2">
        <f t="shared" si="2"/>
        <v>0</v>
      </c>
      <c r="AG57" s="35"/>
    </row>
    <row r="58" spans="1:33" x14ac:dyDescent="0.35">
      <c r="A58" s="159">
        <v>9</v>
      </c>
      <c r="B58" s="150" t="s">
        <v>85</v>
      </c>
      <c r="C58" s="230" t="s">
        <v>19</v>
      </c>
      <c r="D58" s="192"/>
      <c r="E58" s="299"/>
      <c r="F58" s="88"/>
      <c r="G58" s="88"/>
      <c r="H58" s="88"/>
      <c r="I58" s="88"/>
      <c r="J58" s="88"/>
      <c r="K58" s="88"/>
      <c r="L58" s="88"/>
      <c r="M58" s="88"/>
      <c r="N58" s="88"/>
      <c r="O58" s="106"/>
      <c r="P58" s="106"/>
      <c r="Q58" s="106"/>
      <c r="R58" s="88"/>
      <c r="S58" s="88"/>
      <c r="T58" s="88"/>
      <c r="U58" s="88"/>
      <c r="V58" s="88"/>
      <c r="W58" s="88"/>
      <c r="X58" s="106"/>
      <c r="Y58" s="106"/>
      <c r="Z58" s="107"/>
      <c r="AA58" s="34" t="s">
        <v>27</v>
      </c>
      <c r="AB58" s="17">
        <f t="shared" si="0"/>
        <v>0</v>
      </c>
      <c r="AC58" s="29"/>
      <c r="AD58" s="2">
        <f t="shared" si="1"/>
        <v>0</v>
      </c>
      <c r="AE58" s="2">
        <f t="shared" si="2"/>
        <v>0</v>
      </c>
      <c r="AG58" s="35"/>
    </row>
    <row r="59" spans="1:33" x14ac:dyDescent="0.35">
      <c r="A59" s="159">
        <v>9</v>
      </c>
      <c r="B59" s="150" t="s">
        <v>514</v>
      </c>
      <c r="C59" s="230" t="s">
        <v>336</v>
      </c>
      <c r="D59" s="192"/>
      <c r="E59" s="299"/>
      <c r="F59" s="88"/>
      <c r="G59" s="88"/>
      <c r="H59" s="88"/>
      <c r="I59" s="88"/>
      <c r="J59" s="88"/>
      <c r="K59" s="88"/>
      <c r="L59" s="88"/>
      <c r="M59" s="88"/>
      <c r="N59" s="88"/>
      <c r="O59" s="106"/>
      <c r="P59" s="106"/>
      <c r="Q59" s="106"/>
      <c r="R59" s="88"/>
      <c r="S59" s="88"/>
      <c r="T59" s="88"/>
      <c r="U59" s="88"/>
      <c r="V59" s="88"/>
      <c r="W59" s="88"/>
      <c r="X59" s="106"/>
      <c r="Y59" s="106"/>
      <c r="Z59" s="107"/>
      <c r="AA59" s="34" t="s">
        <v>27</v>
      </c>
      <c r="AB59" s="17">
        <f t="shared" si="0"/>
        <v>0</v>
      </c>
      <c r="AC59" s="29">
        <v>60</v>
      </c>
      <c r="AD59" s="2">
        <f t="shared" ref="AD59:AD123" si="7">AC59/12</f>
        <v>5</v>
      </c>
      <c r="AE59" s="2">
        <f t="shared" ref="AE59:AE123" si="8">ROUND(IFERROR(AB59/D59,0),)</f>
        <v>0</v>
      </c>
      <c r="AG59" s="35"/>
    </row>
    <row r="60" spans="1:33" x14ac:dyDescent="0.35">
      <c r="A60" s="159">
        <v>9</v>
      </c>
      <c r="B60" s="150" t="s">
        <v>514</v>
      </c>
      <c r="C60" s="230" t="s">
        <v>30</v>
      </c>
      <c r="D60" s="192">
        <v>14</v>
      </c>
      <c r="E60" s="299"/>
      <c r="F60" s="88"/>
      <c r="G60" s="88"/>
      <c r="H60" s="88"/>
      <c r="I60" s="88"/>
      <c r="J60" s="88"/>
      <c r="K60" s="88"/>
      <c r="L60" s="94"/>
      <c r="M60" s="88"/>
      <c r="N60" s="88"/>
      <c r="O60" s="106"/>
      <c r="P60" s="106"/>
      <c r="Q60" s="106"/>
      <c r="R60" s="88"/>
      <c r="S60" s="88"/>
      <c r="T60" s="88"/>
      <c r="U60" s="88"/>
      <c r="V60" s="88"/>
      <c r="W60" s="88"/>
      <c r="X60" s="106"/>
      <c r="Y60" s="106"/>
      <c r="Z60" s="107"/>
      <c r="AA60" s="34" t="s">
        <v>31</v>
      </c>
      <c r="AB60" s="17">
        <f t="shared" si="0"/>
        <v>0</v>
      </c>
      <c r="AC60" s="29">
        <v>60</v>
      </c>
      <c r="AD60" s="2">
        <f t="shared" si="7"/>
        <v>5</v>
      </c>
      <c r="AE60" s="2">
        <f t="shared" si="8"/>
        <v>0</v>
      </c>
      <c r="AG60" s="35"/>
    </row>
    <row r="61" spans="1:33" x14ac:dyDescent="0.35">
      <c r="A61" s="159">
        <v>9</v>
      </c>
      <c r="B61" s="150" t="s">
        <v>509</v>
      </c>
      <c r="C61" s="230" t="s">
        <v>427</v>
      </c>
      <c r="D61" s="192">
        <v>14</v>
      </c>
      <c r="E61" s="299"/>
      <c r="F61" s="88"/>
      <c r="G61" s="88"/>
      <c r="H61" s="88"/>
      <c r="I61" s="88"/>
      <c r="J61" s="88"/>
      <c r="K61" s="88"/>
      <c r="L61" s="94"/>
      <c r="M61" s="88"/>
      <c r="N61" s="88"/>
      <c r="O61" s="106"/>
      <c r="P61" s="106"/>
      <c r="Q61" s="106"/>
      <c r="R61" s="88"/>
      <c r="S61" s="88"/>
      <c r="T61" s="88"/>
      <c r="U61" s="88"/>
      <c r="V61" s="88"/>
      <c r="W61" s="88"/>
      <c r="X61" s="106"/>
      <c r="Y61" s="106"/>
      <c r="Z61" s="107"/>
      <c r="AA61" s="34" t="s">
        <v>31</v>
      </c>
      <c r="AB61" s="17">
        <f t="shared" si="0"/>
        <v>0</v>
      </c>
      <c r="AC61" s="29">
        <v>60</v>
      </c>
      <c r="AD61" s="2">
        <f t="shared" si="7"/>
        <v>5</v>
      </c>
      <c r="AE61" s="2">
        <f t="shared" si="8"/>
        <v>0</v>
      </c>
      <c r="AG61" s="35"/>
    </row>
    <row r="62" spans="1:33" x14ac:dyDescent="0.35">
      <c r="A62" s="159">
        <v>9</v>
      </c>
      <c r="B62" s="150" t="s">
        <v>509</v>
      </c>
      <c r="C62" s="210" t="s">
        <v>423</v>
      </c>
      <c r="D62" s="192">
        <v>14</v>
      </c>
      <c r="E62" s="299"/>
      <c r="F62" s="88"/>
      <c r="G62" s="88"/>
      <c r="H62" s="88"/>
      <c r="I62" s="88"/>
      <c r="J62" s="88"/>
      <c r="K62" s="88"/>
      <c r="L62" s="88"/>
      <c r="M62" s="88"/>
      <c r="N62" s="88"/>
      <c r="O62" s="106"/>
      <c r="P62" s="106"/>
      <c r="Q62" s="106"/>
      <c r="R62" s="88"/>
      <c r="S62" s="88"/>
      <c r="T62" s="88"/>
      <c r="U62" s="88"/>
      <c r="V62" s="88"/>
      <c r="W62" s="88"/>
      <c r="X62" s="106"/>
      <c r="Y62" s="106"/>
      <c r="Z62" s="107"/>
      <c r="AA62" s="34" t="s">
        <v>31</v>
      </c>
      <c r="AB62" s="17">
        <f t="shared" si="0"/>
        <v>0</v>
      </c>
      <c r="AC62" s="29">
        <v>60</v>
      </c>
      <c r="AD62" s="2">
        <f t="shared" si="7"/>
        <v>5</v>
      </c>
      <c r="AE62" s="2">
        <f t="shared" si="8"/>
        <v>0</v>
      </c>
      <c r="AG62" s="35"/>
    </row>
    <row r="63" spans="1:33" x14ac:dyDescent="0.35">
      <c r="A63" s="159">
        <v>9</v>
      </c>
      <c r="B63" s="150" t="s">
        <v>514</v>
      </c>
      <c r="C63" s="230" t="s">
        <v>336</v>
      </c>
      <c r="D63" s="192">
        <v>14</v>
      </c>
      <c r="E63" s="299"/>
      <c r="F63" s="88"/>
      <c r="G63" s="88"/>
      <c r="H63" s="88"/>
      <c r="I63" s="88"/>
      <c r="J63" s="88"/>
      <c r="K63" s="88"/>
      <c r="L63" s="88"/>
      <c r="M63" s="88"/>
      <c r="N63" s="88"/>
      <c r="O63" s="106"/>
      <c r="P63" s="106"/>
      <c r="Q63" s="106"/>
      <c r="R63" s="88"/>
      <c r="S63" s="88"/>
      <c r="T63" s="88"/>
      <c r="U63" s="88"/>
      <c r="V63" s="88"/>
      <c r="W63" s="88"/>
      <c r="X63" s="106"/>
      <c r="Y63" s="106"/>
      <c r="Z63" s="107"/>
      <c r="AA63" s="34" t="s">
        <v>31</v>
      </c>
      <c r="AB63" s="17">
        <f t="shared" si="0"/>
        <v>0</v>
      </c>
      <c r="AC63" s="29">
        <v>60</v>
      </c>
      <c r="AD63" s="2">
        <f t="shared" si="7"/>
        <v>5</v>
      </c>
      <c r="AE63" s="2">
        <f t="shared" si="8"/>
        <v>0</v>
      </c>
      <c r="AG63" s="35"/>
    </row>
    <row r="64" spans="1:33" x14ac:dyDescent="0.35">
      <c r="A64" s="159">
        <v>9</v>
      </c>
      <c r="B64" s="150" t="s">
        <v>509</v>
      </c>
      <c r="C64" s="230" t="s">
        <v>422</v>
      </c>
      <c r="D64" s="192">
        <v>14</v>
      </c>
      <c r="E64" s="299"/>
      <c r="F64" s="88"/>
      <c r="G64" s="88"/>
      <c r="H64" s="88"/>
      <c r="I64" s="88"/>
      <c r="J64" s="95"/>
      <c r="K64" s="88"/>
      <c r="L64" s="88"/>
      <c r="M64" s="88"/>
      <c r="N64" s="88"/>
      <c r="O64" s="106"/>
      <c r="P64" s="106"/>
      <c r="Q64" s="106"/>
      <c r="R64" s="88"/>
      <c r="S64" s="88"/>
      <c r="T64" s="88"/>
      <c r="U64" s="88"/>
      <c r="V64" s="88"/>
      <c r="W64" s="88"/>
      <c r="X64" s="106"/>
      <c r="Y64" s="106"/>
      <c r="Z64" s="107"/>
      <c r="AA64" s="34" t="s">
        <v>31</v>
      </c>
      <c r="AB64" s="17">
        <f t="shared" si="0"/>
        <v>0</v>
      </c>
      <c r="AC64" s="29">
        <v>60</v>
      </c>
      <c r="AD64" s="2">
        <f t="shared" si="7"/>
        <v>5</v>
      </c>
      <c r="AE64" s="2">
        <f t="shared" si="8"/>
        <v>0</v>
      </c>
      <c r="AG64" s="35"/>
    </row>
    <row r="65" spans="1:33" x14ac:dyDescent="0.35">
      <c r="A65" s="159">
        <v>9</v>
      </c>
      <c r="B65" s="150" t="s">
        <v>510</v>
      </c>
      <c r="C65" s="230" t="s">
        <v>33</v>
      </c>
      <c r="D65" s="192">
        <v>13</v>
      </c>
      <c r="E65" s="299"/>
      <c r="F65" s="88"/>
      <c r="G65" s="88"/>
      <c r="H65" s="88"/>
      <c r="I65" s="88"/>
      <c r="J65" s="88"/>
      <c r="K65" s="88"/>
      <c r="L65" s="94"/>
      <c r="M65" s="88"/>
      <c r="N65" s="88"/>
      <c r="O65" s="106"/>
      <c r="P65" s="106"/>
      <c r="Q65" s="106"/>
      <c r="R65" s="88"/>
      <c r="S65" s="88"/>
      <c r="T65" s="88"/>
      <c r="U65" s="88"/>
      <c r="V65" s="88"/>
      <c r="W65" s="88"/>
      <c r="X65" s="106"/>
      <c r="Y65" s="106"/>
      <c r="Z65" s="107"/>
      <c r="AA65" s="34" t="s">
        <v>32</v>
      </c>
      <c r="AB65" s="17">
        <f t="shared" si="0"/>
        <v>0</v>
      </c>
      <c r="AC65" s="29">
        <v>60</v>
      </c>
      <c r="AD65" s="2">
        <f t="shared" si="7"/>
        <v>5</v>
      </c>
      <c r="AE65" s="2">
        <f t="shared" si="8"/>
        <v>0</v>
      </c>
      <c r="AG65" s="35"/>
    </row>
    <row r="66" spans="1:33" x14ac:dyDescent="0.35">
      <c r="A66" s="159">
        <v>9</v>
      </c>
      <c r="B66" s="150" t="s">
        <v>56</v>
      </c>
      <c r="C66" s="230" t="s">
        <v>57</v>
      </c>
      <c r="D66" s="192">
        <v>18</v>
      </c>
      <c r="E66" s="299"/>
      <c r="F66" s="88"/>
      <c r="G66" s="88"/>
      <c r="H66" s="88"/>
      <c r="I66" s="88"/>
      <c r="J66" s="88"/>
      <c r="K66" s="88"/>
      <c r="L66" s="88"/>
      <c r="M66" s="88"/>
      <c r="N66" s="88"/>
      <c r="O66" s="106"/>
      <c r="P66" s="106"/>
      <c r="Q66" s="106"/>
      <c r="R66" s="88"/>
      <c r="S66" s="88"/>
      <c r="T66" s="88"/>
      <c r="U66" s="88"/>
      <c r="V66" s="88"/>
      <c r="W66" s="88"/>
      <c r="X66" s="106"/>
      <c r="Y66" s="106"/>
      <c r="Z66" s="107"/>
      <c r="AA66" s="37" t="s">
        <v>56</v>
      </c>
      <c r="AB66" s="17">
        <f t="shared" ref="AB66:AB129" si="9">SUM(F66:Z66)</f>
        <v>0</v>
      </c>
      <c r="AC66" s="29">
        <v>60</v>
      </c>
      <c r="AD66" s="2">
        <f t="shared" si="7"/>
        <v>5</v>
      </c>
      <c r="AE66" s="2">
        <f t="shared" si="8"/>
        <v>0</v>
      </c>
      <c r="AG66" s="35"/>
    </row>
    <row r="67" spans="1:33" x14ac:dyDescent="0.35">
      <c r="A67" s="159">
        <v>9</v>
      </c>
      <c r="B67" s="150" t="s">
        <v>56</v>
      </c>
      <c r="C67" s="230" t="s">
        <v>58</v>
      </c>
      <c r="D67" s="192">
        <v>18</v>
      </c>
      <c r="E67" s="299"/>
      <c r="F67" s="88"/>
      <c r="G67" s="97"/>
      <c r="H67" s="97"/>
      <c r="I67" s="97"/>
      <c r="J67" s="97"/>
      <c r="K67" s="97"/>
      <c r="L67" s="97"/>
      <c r="M67" s="97"/>
      <c r="N67" s="97"/>
      <c r="O67" s="264"/>
      <c r="P67" s="264"/>
      <c r="Q67" s="264"/>
      <c r="R67" s="97"/>
      <c r="S67" s="97"/>
      <c r="T67" s="97"/>
      <c r="U67" s="97"/>
      <c r="V67" s="97"/>
      <c r="W67" s="97"/>
      <c r="X67" s="106"/>
      <c r="Y67" s="106"/>
      <c r="Z67" s="107"/>
      <c r="AA67" s="37" t="s">
        <v>56</v>
      </c>
      <c r="AB67" s="17">
        <f t="shared" si="9"/>
        <v>0</v>
      </c>
      <c r="AC67" s="29">
        <v>60</v>
      </c>
      <c r="AD67" s="2">
        <f t="shared" si="7"/>
        <v>5</v>
      </c>
      <c r="AE67" s="2">
        <f t="shared" si="8"/>
        <v>0</v>
      </c>
      <c r="AG67" s="35"/>
    </row>
    <row r="68" spans="1:33" x14ac:dyDescent="0.35">
      <c r="A68" s="159">
        <v>9</v>
      </c>
      <c r="B68" s="150" t="s">
        <v>375</v>
      </c>
      <c r="C68" s="230" t="s">
        <v>376</v>
      </c>
      <c r="D68" s="192"/>
      <c r="E68" s="299"/>
      <c r="F68" s="88"/>
      <c r="G68" s="88"/>
      <c r="H68" s="88"/>
      <c r="I68" s="88"/>
      <c r="J68" s="88"/>
      <c r="K68" s="88"/>
      <c r="L68" s="95"/>
      <c r="M68" s="88"/>
      <c r="N68" s="88"/>
      <c r="O68" s="106"/>
      <c r="P68" s="106"/>
      <c r="Q68" s="106"/>
      <c r="R68" s="88"/>
      <c r="S68" s="88"/>
      <c r="T68" s="88"/>
      <c r="U68" s="88"/>
      <c r="V68" s="88"/>
      <c r="W68" s="88"/>
      <c r="X68" s="106"/>
      <c r="Y68" s="106"/>
      <c r="Z68" s="107"/>
      <c r="AA68" s="37"/>
      <c r="AB68" s="17">
        <f t="shared" si="9"/>
        <v>0</v>
      </c>
      <c r="AC68" s="29"/>
      <c r="AD68" s="2">
        <f t="shared" si="7"/>
        <v>0</v>
      </c>
      <c r="AE68" s="2">
        <f t="shared" si="8"/>
        <v>0</v>
      </c>
      <c r="AG68" s="35"/>
    </row>
    <row r="69" spans="1:33" x14ac:dyDescent="0.35">
      <c r="A69" s="159">
        <v>9</v>
      </c>
      <c r="B69" s="150" t="s">
        <v>86</v>
      </c>
      <c r="C69" s="230" t="s">
        <v>74</v>
      </c>
      <c r="D69" s="192">
        <v>13</v>
      </c>
      <c r="E69" s="299"/>
      <c r="F69" s="97"/>
      <c r="G69" s="97"/>
      <c r="H69" s="97"/>
      <c r="I69" s="97"/>
      <c r="J69" s="97"/>
      <c r="K69" s="97"/>
      <c r="L69" s="97"/>
      <c r="M69" s="97"/>
      <c r="N69" s="97"/>
      <c r="O69" s="264"/>
      <c r="P69" s="264"/>
      <c r="Q69" s="264"/>
      <c r="R69" s="97"/>
      <c r="S69" s="97"/>
      <c r="T69" s="97"/>
      <c r="U69" s="97"/>
      <c r="V69" s="97"/>
      <c r="W69" s="97"/>
      <c r="X69" s="106"/>
      <c r="Y69" s="106"/>
      <c r="Z69" s="107"/>
      <c r="AA69" s="34" t="s">
        <v>87</v>
      </c>
      <c r="AB69" s="17">
        <f t="shared" si="9"/>
        <v>0</v>
      </c>
      <c r="AC69" s="29">
        <v>60</v>
      </c>
      <c r="AD69" s="2">
        <f t="shared" si="7"/>
        <v>5</v>
      </c>
      <c r="AE69" s="2">
        <f t="shared" si="8"/>
        <v>0</v>
      </c>
      <c r="AG69" s="35"/>
    </row>
    <row r="70" spans="1:33" ht="15" thickBot="1" x14ac:dyDescent="0.4">
      <c r="A70" s="162">
        <v>9</v>
      </c>
      <c r="B70" s="152" t="s">
        <v>86</v>
      </c>
      <c r="C70" s="254" t="s">
        <v>71</v>
      </c>
      <c r="D70" s="194">
        <v>13</v>
      </c>
      <c r="E70" s="301"/>
      <c r="F70" s="92"/>
      <c r="G70" s="92"/>
      <c r="H70" s="92"/>
      <c r="I70" s="92"/>
      <c r="J70" s="92"/>
      <c r="K70" s="92"/>
      <c r="L70" s="92"/>
      <c r="M70" s="92"/>
      <c r="N70" s="92"/>
      <c r="O70" s="112"/>
      <c r="P70" s="112"/>
      <c r="Q70" s="112"/>
      <c r="R70" s="92"/>
      <c r="S70" s="92"/>
      <c r="T70" s="92"/>
      <c r="U70" s="92"/>
      <c r="V70" s="92"/>
      <c r="W70" s="92"/>
      <c r="X70" s="112"/>
      <c r="Y70" s="112"/>
      <c r="Z70" s="113"/>
      <c r="AA70" s="34" t="s">
        <v>87</v>
      </c>
      <c r="AB70" s="17">
        <f t="shared" si="9"/>
        <v>0</v>
      </c>
      <c r="AC70" s="29">
        <v>60</v>
      </c>
      <c r="AD70" s="2">
        <f t="shared" si="7"/>
        <v>5</v>
      </c>
      <c r="AE70" s="2">
        <f t="shared" si="8"/>
        <v>0</v>
      </c>
      <c r="AG70" s="35"/>
    </row>
    <row r="71" spans="1:33" x14ac:dyDescent="0.35">
      <c r="A71" s="157">
        <v>11</v>
      </c>
      <c r="B71" s="136" t="s">
        <v>88</v>
      </c>
      <c r="C71" s="228" t="s">
        <v>89</v>
      </c>
      <c r="D71" s="178"/>
      <c r="E71" s="292"/>
      <c r="F71" s="96"/>
      <c r="G71" s="96"/>
      <c r="H71" s="87"/>
      <c r="I71" s="96"/>
      <c r="J71" s="96"/>
      <c r="K71" s="87"/>
      <c r="L71" s="96"/>
      <c r="M71" s="96"/>
      <c r="N71" s="87"/>
      <c r="O71" s="265"/>
      <c r="P71" s="265"/>
      <c r="Q71" s="102"/>
      <c r="R71" s="96"/>
      <c r="S71" s="96"/>
      <c r="T71" s="87"/>
      <c r="U71" s="96"/>
      <c r="V71" s="96"/>
      <c r="W71" s="87"/>
      <c r="X71" s="102"/>
      <c r="Y71" s="102"/>
      <c r="Z71" s="103"/>
      <c r="AA71" s="34" t="s">
        <v>75</v>
      </c>
      <c r="AB71" s="17">
        <f t="shared" si="9"/>
        <v>0</v>
      </c>
      <c r="AC71" s="29"/>
      <c r="AD71" s="2">
        <f t="shared" si="7"/>
        <v>0</v>
      </c>
      <c r="AE71" s="2">
        <f t="shared" si="8"/>
        <v>0</v>
      </c>
      <c r="AG71" s="35"/>
    </row>
    <row r="72" spans="1:33" x14ac:dyDescent="0.35">
      <c r="A72" s="159">
        <v>11</v>
      </c>
      <c r="B72" s="135" t="s">
        <v>90</v>
      </c>
      <c r="C72" s="210" t="s">
        <v>266</v>
      </c>
      <c r="D72" s="175">
        <v>18</v>
      </c>
      <c r="E72" s="290"/>
      <c r="F72" s="91"/>
      <c r="G72" s="91"/>
      <c r="H72" s="91"/>
      <c r="I72" s="91"/>
      <c r="J72" s="91"/>
      <c r="K72" s="91"/>
      <c r="L72" s="91"/>
      <c r="M72" s="91"/>
      <c r="N72" s="91"/>
      <c r="O72" s="108"/>
      <c r="P72" s="108"/>
      <c r="Q72" s="108"/>
      <c r="R72" s="91"/>
      <c r="S72" s="91"/>
      <c r="T72" s="91"/>
      <c r="U72" s="91"/>
      <c r="V72" s="91"/>
      <c r="W72" s="91"/>
      <c r="X72" s="106"/>
      <c r="Y72" s="106"/>
      <c r="Z72" s="107"/>
      <c r="AA72" s="34" t="s">
        <v>90</v>
      </c>
      <c r="AB72" s="17">
        <f t="shared" si="9"/>
        <v>0</v>
      </c>
      <c r="AC72" s="29">
        <v>48</v>
      </c>
      <c r="AD72" s="2">
        <f t="shared" si="7"/>
        <v>4</v>
      </c>
      <c r="AE72" s="2">
        <f t="shared" si="8"/>
        <v>0</v>
      </c>
      <c r="AG72" s="35"/>
    </row>
    <row r="73" spans="1:33" x14ac:dyDescent="0.35">
      <c r="A73" s="159">
        <v>11</v>
      </c>
      <c r="B73" s="146" t="s">
        <v>77</v>
      </c>
      <c r="C73" s="224" t="s">
        <v>78</v>
      </c>
      <c r="D73" s="187">
        <v>17</v>
      </c>
      <c r="E73" s="290"/>
      <c r="F73" s="88"/>
      <c r="G73" s="88"/>
      <c r="H73" s="88"/>
      <c r="I73" s="88"/>
      <c r="J73" s="88"/>
      <c r="K73" s="88"/>
      <c r="L73" s="88"/>
      <c r="M73" s="88"/>
      <c r="N73" s="88"/>
      <c r="O73" s="106"/>
      <c r="P73" s="106"/>
      <c r="Q73" s="106"/>
      <c r="R73" s="88"/>
      <c r="S73" s="88"/>
      <c r="T73" s="88"/>
      <c r="U73" s="88"/>
      <c r="V73" s="88"/>
      <c r="W73" s="88"/>
      <c r="X73" s="106"/>
      <c r="Y73" s="106"/>
      <c r="Z73" s="107"/>
      <c r="AA73" s="34" t="s">
        <v>79</v>
      </c>
      <c r="AB73" s="17">
        <f t="shared" si="9"/>
        <v>0</v>
      </c>
      <c r="AC73" s="29">
        <v>60</v>
      </c>
      <c r="AD73" s="2">
        <f t="shared" si="7"/>
        <v>5</v>
      </c>
      <c r="AE73" s="2">
        <f t="shared" si="8"/>
        <v>0</v>
      </c>
      <c r="AG73" s="35"/>
    </row>
    <row r="74" spans="1:33" x14ac:dyDescent="0.35">
      <c r="A74" s="160">
        <v>11</v>
      </c>
      <c r="B74" s="135" t="s">
        <v>81</v>
      </c>
      <c r="C74" s="210" t="s">
        <v>82</v>
      </c>
      <c r="D74" s="179">
        <v>18</v>
      </c>
      <c r="E74" s="290"/>
      <c r="F74" s="88"/>
      <c r="G74" s="88"/>
      <c r="H74" s="88"/>
      <c r="I74" s="88"/>
      <c r="J74" s="88"/>
      <c r="K74" s="88"/>
      <c r="L74" s="88"/>
      <c r="M74" s="88"/>
      <c r="N74" s="88"/>
      <c r="O74" s="106"/>
      <c r="P74" s="106"/>
      <c r="Q74" s="106"/>
      <c r="R74" s="88"/>
      <c r="S74" s="88"/>
      <c r="T74" s="88"/>
      <c r="U74" s="88"/>
      <c r="V74" s="88"/>
      <c r="W74" s="88"/>
      <c r="X74" s="108"/>
      <c r="Y74" s="108"/>
      <c r="Z74" s="109"/>
      <c r="AA74" s="34" t="s">
        <v>81</v>
      </c>
      <c r="AB74" s="17">
        <f t="shared" si="9"/>
        <v>0</v>
      </c>
      <c r="AC74" s="29">
        <v>60</v>
      </c>
      <c r="AD74" s="2">
        <f t="shared" si="7"/>
        <v>5</v>
      </c>
      <c r="AE74" s="2">
        <f t="shared" si="8"/>
        <v>0</v>
      </c>
      <c r="AG74" s="35"/>
    </row>
    <row r="75" spans="1:33" ht="15" thickBot="1" x14ac:dyDescent="0.4">
      <c r="A75" s="162">
        <v>11</v>
      </c>
      <c r="B75" s="138" t="s">
        <v>81</v>
      </c>
      <c r="C75" s="126" t="s">
        <v>83</v>
      </c>
      <c r="D75" s="177">
        <v>17</v>
      </c>
      <c r="E75" s="291"/>
      <c r="F75" s="92"/>
      <c r="G75" s="92"/>
      <c r="H75" s="92"/>
      <c r="I75" s="92"/>
      <c r="J75" s="92"/>
      <c r="K75" s="92"/>
      <c r="L75" s="92"/>
      <c r="M75" s="92"/>
      <c r="N75" s="92"/>
      <c r="O75" s="112"/>
      <c r="P75" s="112"/>
      <c r="Q75" s="112"/>
      <c r="R75" s="92"/>
      <c r="S75" s="92"/>
      <c r="T75" s="92"/>
      <c r="U75" s="92"/>
      <c r="V75" s="92"/>
      <c r="W75" s="92"/>
      <c r="X75" s="112"/>
      <c r="Y75" s="112"/>
      <c r="Z75" s="113"/>
      <c r="AA75" s="34" t="s">
        <v>81</v>
      </c>
      <c r="AB75" s="17">
        <f t="shared" si="9"/>
        <v>0</v>
      </c>
      <c r="AC75" s="29">
        <v>60</v>
      </c>
      <c r="AD75" s="2">
        <f t="shared" si="7"/>
        <v>5</v>
      </c>
      <c r="AE75" s="2">
        <f t="shared" si="8"/>
        <v>0</v>
      </c>
      <c r="AG75" s="35"/>
    </row>
    <row r="76" spans="1:33" x14ac:dyDescent="0.35">
      <c r="A76" s="158">
        <v>12</v>
      </c>
      <c r="B76" s="134" t="s">
        <v>274</v>
      </c>
      <c r="C76" s="255" t="s">
        <v>91</v>
      </c>
      <c r="D76" s="170">
        <v>16</v>
      </c>
      <c r="E76" s="288"/>
      <c r="F76" s="89"/>
      <c r="G76" s="89"/>
      <c r="H76" s="89"/>
      <c r="I76" s="89"/>
      <c r="J76" s="89"/>
      <c r="K76" s="89"/>
      <c r="L76" s="89"/>
      <c r="M76" s="89">
        <v>73</v>
      </c>
      <c r="N76" s="89"/>
      <c r="O76" s="104"/>
      <c r="P76" s="104"/>
      <c r="Q76" s="104"/>
      <c r="R76" s="89">
        <f>16*7.5</f>
        <v>120</v>
      </c>
      <c r="S76" s="89"/>
      <c r="T76" s="89"/>
      <c r="U76" s="89"/>
      <c r="V76" s="89"/>
      <c r="W76" s="89"/>
      <c r="X76" s="104"/>
      <c r="Y76" s="104"/>
      <c r="Z76" s="105"/>
      <c r="AA76" s="34" t="s">
        <v>93</v>
      </c>
      <c r="AB76" s="17">
        <f t="shared" si="9"/>
        <v>193</v>
      </c>
      <c r="AC76" s="29">
        <v>96</v>
      </c>
      <c r="AD76" s="2">
        <f t="shared" si="7"/>
        <v>8</v>
      </c>
      <c r="AE76" s="2">
        <f t="shared" si="8"/>
        <v>12</v>
      </c>
      <c r="AG76" s="35"/>
    </row>
    <row r="77" spans="1:33" x14ac:dyDescent="0.35">
      <c r="A77" s="159">
        <v>12</v>
      </c>
      <c r="B77" s="135" t="s">
        <v>276</v>
      </c>
      <c r="C77" s="210" t="s">
        <v>92</v>
      </c>
      <c r="D77" s="175">
        <v>16</v>
      </c>
      <c r="E77" s="290"/>
      <c r="F77" s="88"/>
      <c r="G77" s="88"/>
      <c r="H77" s="88"/>
      <c r="I77" s="88"/>
      <c r="J77" s="88"/>
      <c r="K77" s="88"/>
      <c r="L77" s="88"/>
      <c r="M77" s="88"/>
      <c r="N77" s="88"/>
      <c r="O77" s="106"/>
      <c r="P77" s="106"/>
      <c r="Q77" s="106"/>
      <c r="R77" s="88"/>
      <c r="S77" s="89">
        <f>16*2.25</f>
        <v>36</v>
      </c>
      <c r="T77" s="88"/>
      <c r="U77" s="88">
        <v>120</v>
      </c>
      <c r="V77" s="89">
        <f>16*2.25</f>
        <v>36</v>
      </c>
      <c r="W77" s="88"/>
      <c r="X77" s="106"/>
      <c r="Y77" s="106"/>
      <c r="Z77" s="107"/>
      <c r="AA77" s="34" t="s">
        <v>93</v>
      </c>
      <c r="AB77" s="17">
        <f t="shared" si="9"/>
        <v>192</v>
      </c>
      <c r="AC77" s="29">
        <v>96</v>
      </c>
      <c r="AD77" s="2">
        <f t="shared" si="7"/>
        <v>8</v>
      </c>
      <c r="AE77" s="2">
        <f t="shared" si="8"/>
        <v>12</v>
      </c>
      <c r="AF77" s="125" t="s">
        <v>532</v>
      </c>
      <c r="AG77" s="35"/>
    </row>
    <row r="78" spans="1:33" x14ac:dyDescent="0.35">
      <c r="A78" s="159">
        <v>12</v>
      </c>
      <c r="B78" s="135" t="s">
        <v>275</v>
      </c>
      <c r="C78" s="249" t="s">
        <v>273</v>
      </c>
      <c r="D78" s="175">
        <v>19</v>
      </c>
      <c r="E78" s="290"/>
      <c r="F78" s="88">
        <v>143</v>
      </c>
      <c r="G78" s="90">
        <v>73</v>
      </c>
      <c r="H78" s="88"/>
      <c r="I78" s="88">
        <v>143</v>
      </c>
      <c r="J78" s="90">
        <v>73</v>
      </c>
      <c r="K78" s="88"/>
      <c r="L78" s="88">
        <v>143</v>
      </c>
      <c r="M78" s="90"/>
      <c r="N78" s="88"/>
      <c r="O78" s="106"/>
      <c r="P78" s="263"/>
      <c r="Q78" s="106"/>
      <c r="R78" s="88"/>
      <c r="S78" s="89"/>
      <c r="T78" s="88"/>
      <c r="U78" s="88"/>
      <c r="V78" s="88"/>
      <c r="W78" s="90"/>
      <c r="X78" s="106"/>
      <c r="Y78" s="106"/>
      <c r="Z78" s="107"/>
      <c r="AA78" s="34" t="s">
        <v>93</v>
      </c>
      <c r="AB78" s="17">
        <f t="shared" si="9"/>
        <v>575</v>
      </c>
      <c r="AC78" s="29">
        <v>96</v>
      </c>
      <c r="AD78" s="2">
        <f t="shared" si="7"/>
        <v>8</v>
      </c>
      <c r="AE78" s="2">
        <f t="shared" si="8"/>
        <v>30</v>
      </c>
      <c r="AG78" s="35"/>
    </row>
    <row r="79" spans="1:33" x14ac:dyDescent="0.35">
      <c r="A79" s="159">
        <v>12</v>
      </c>
      <c r="B79" s="135" t="s">
        <v>277</v>
      </c>
      <c r="C79" s="210" t="s">
        <v>264</v>
      </c>
      <c r="D79" s="175">
        <v>19</v>
      </c>
      <c r="E79" s="290"/>
      <c r="F79" s="88"/>
      <c r="G79" s="88"/>
      <c r="H79" s="88"/>
      <c r="I79" s="88"/>
      <c r="J79" s="88"/>
      <c r="K79" s="88"/>
      <c r="L79" s="88"/>
      <c r="M79" s="88"/>
      <c r="N79" s="88"/>
      <c r="O79" s="106"/>
      <c r="P79" s="106"/>
      <c r="Q79" s="106"/>
      <c r="R79" s="88"/>
      <c r="S79" s="88"/>
      <c r="T79" s="88"/>
      <c r="U79" s="88"/>
      <c r="V79" s="88"/>
      <c r="W79" s="88"/>
      <c r="X79" s="106"/>
      <c r="Y79" s="106"/>
      <c r="Z79" s="107"/>
      <c r="AA79" s="34" t="s">
        <v>93</v>
      </c>
      <c r="AB79" s="17">
        <f t="shared" si="9"/>
        <v>0</v>
      </c>
      <c r="AC79" s="29">
        <v>96</v>
      </c>
      <c r="AD79" s="2">
        <f t="shared" si="7"/>
        <v>8</v>
      </c>
      <c r="AE79" s="2">
        <f t="shared" si="8"/>
        <v>0</v>
      </c>
      <c r="AG79" s="35"/>
    </row>
    <row r="80" spans="1:33" x14ac:dyDescent="0.35">
      <c r="A80" s="159">
        <v>12</v>
      </c>
      <c r="B80" s="135" t="s">
        <v>278</v>
      </c>
      <c r="C80" s="210" t="s">
        <v>94</v>
      </c>
      <c r="D80" s="175">
        <v>19</v>
      </c>
      <c r="E80" s="290"/>
      <c r="F80" s="88"/>
      <c r="G80" s="88"/>
      <c r="H80" s="88"/>
      <c r="I80" s="88"/>
      <c r="J80" s="88"/>
      <c r="K80" s="88"/>
      <c r="L80" s="88"/>
      <c r="M80" s="88"/>
      <c r="N80" s="88"/>
      <c r="O80" s="106"/>
      <c r="P80" s="106"/>
      <c r="Q80" s="106"/>
      <c r="R80" s="88"/>
      <c r="S80" s="88"/>
      <c r="T80" s="88"/>
      <c r="U80" s="88"/>
      <c r="V80" s="88"/>
      <c r="W80" s="88"/>
      <c r="X80" s="106"/>
      <c r="Y80" s="106"/>
      <c r="Z80" s="107"/>
      <c r="AA80" s="34" t="s">
        <v>93</v>
      </c>
      <c r="AB80" s="17">
        <f t="shared" si="9"/>
        <v>0</v>
      </c>
      <c r="AC80" s="29">
        <v>96</v>
      </c>
      <c r="AD80" s="2">
        <f t="shared" si="7"/>
        <v>8</v>
      </c>
      <c r="AE80" s="2">
        <f t="shared" si="8"/>
        <v>0</v>
      </c>
      <c r="AG80" s="35"/>
    </row>
    <row r="81" spans="1:33" ht="15" thickBot="1" x14ac:dyDescent="0.4">
      <c r="A81" s="159">
        <v>12</v>
      </c>
      <c r="B81" s="135" t="s">
        <v>93</v>
      </c>
      <c r="C81" s="210" t="s">
        <v>328</v>
      </c>
      <c r="D81" s="175">
        <v>16</v>
      </c>
      <c r="E81" s="291"/>
      <c r="F81" s="88"/>
      <c r="G81" s="88"/>
      <c r="H81" s="88"/>
      <c r="I81" s="91"/>
      <c r="J81" s="91"/>
      <c r="K81" s="91"/>
      <c r="L81" s="91"/>
      <c r="M81" s="91"/>
      <c r="N81" s="91"/>
      <c r="O81" s="108"/>
      <c r="P81" s="108"/>
      <c r="Q81" s="108"/>
      <c r="R81" s="91"/>
      <c r="S81" s="88"/>
      <c r="T81" s="88"/>
      <c r="U81" s="88"/>
      <c r="V81" s="88"/>
      <c r="W81" s="88"/>
      <c r="X81" s="106"/>
      <c r="Y81" s="106"/>
      <c r="Z81" s="107"/>
      <c r="AA81" s="34" t="s">
        <v>93</v>
      </c>
      <c r="AB81" s="17">
        <f t="shared" si="9"/>
        <v>0</v>
      </c>
      <c r="AC81" s="29">
        <v>96</v>
      </c>
      <c r="AD81" s="2">
        <f t="shared" si="7"/>
        <v>8</v>
      </c>
      <c r="AE81" s="2">
        <f t="shared" si="8"/>
        <v>0</v>
      </c>
      <c r="AG81" s="35"/>
    </row>
    <row r="82" spans="1:33" x14ac:dyDescent="0.35">
      <c r="A82" s="157">
        <v>13</v>
      </c>
      <c r="B82" s="136" t="s">
        <v>95</v>
      </c>
      <c r="C82" s="228" t="s">
        <v>316</v>
      </c>
      <c r="D82" s="169">
        <v>17</v>
      </c>
      <c r="E82" s="287"/>
      <c r="F82" s="87">
        <v>153</v>
      </c>
      <c r="G82" s="87"/>
      <c r="H82" s="87"/>
      <c r="I82" s="87">
        <v>153</v>
      </c>
      <c r="J82" s="87"/>
      <c r="K82" s="87"/>
      <c r="L82" s="87">
        <v>153</v>
      </c>
      <c r="M82" s="87"/>
      <c r="N82" s="87"/>
      <c r="O82" s="102"/>
      <c r="P82" s="102"/>
      <c r="Q82" s="102"/>
      <c r="R82" s="87">
        <v>153</v>
      </c>
      <c r="S82" s="87"/>
      <c r="T82" s="87"/>
      <c r="U82" s="87"/>
      <c r="V82" s="87"/>
      <c r="W82" s="87"/>
      <c r="X82" s="102"/>
      <c r="Y82" s="102"/>
      <c r="Z82" s="103"/>
      <c r="AA82" s="37" t="s">
        <v>159</v>
      </c>
      <c r="AB82" s="17">
        <f t="shared" si="9"/>
        <v>612</v>
      </c>
      <c r="AC82" s="29">
        <v>96</v>
      </c>
      <c r="AD82" s="2">
        <f t="shared" si="7"/>
        <v>8</v>
      </c>
      <c r="AE82" s="2">
        <f t="shared" si="8"/>
        <v>36</v>
      </c>
      <c r="AG82" s="35"/>
    </row>
    <row r="83" spans="1:33" ht="15" thickBot="1" x14ac:dyDescent="0.4">
      <c r="A83" s="162">
        <v>13</v>
      </c>
      <c r="B83" s="137" t="s">
        <v>97</v>
      </c>
      <c r="C83" s="229" t="s">
        <v>317</v>
      </c>
      <c r="D83" s="176">
        <v>17</v>
      </c>
      <c r="E83" s="291"/>
      <c r="F83" s="92"/>
      <c r="G83" s="92"/>
      <c r="H83" s="92"/>
      <c r="I83" s="92"/>
      <c r="J83" s="92"/>
      <c r="K83" s="92"/>
      <c r="L83" s="92"/>
      <c r="M83" s="92"/>
      <c r="N83" s="92"/>
      <c r="O83" s="112"/>
      <c r="P83" s="112"/>
      <c r="Q83" s="112"/>
      <c r="R83" s="92"/>
      <c r="S83" s="92"/>
      <c r="T83" s="92"/>
      <c r="U83" s="92"/>
      <c r="V83" s="92"/>
      <c r="W83" s="92"/>
      <c r="X83" s="112"/>
      <c r="Y83" s="112"/>
      <c r="Z83" s="113"/>
      <c r="AA83" s="37" t="s">
        <v>159</v>
      </c>
      <c r="AB83" s="17">
        <f t="shared" si="9"/>
        <v>0</v>
      </c>
      <c r="AC83" s="29">
        <v>96</v>
      </c>
      <c r="AD83" s="2">
        <f t="shared" si="7"/>
        <v>8</v>
      </c>
      <c r="AE83" s="2">
        <f t="shared" si="8"/>
        <v>0</v>
      </c>
      <c r="AG83" s="35"/>
    </row>
    <row r="84" spans="1:33" x14ac:dyDescent="0.35">
      <c r="A84" s="157">
        <v>14</v>
      </c>
      <c r="B84" s="136" t="s">
        <v>98</v>
      </c>
      <c r="C84" s="228" t="s">
        <v>99</v>
      </c>
      <c r="D84" s="169" t="s">
        <v>356</v>
      </c>
      <c r="E84" s="287"/>
      <c r="F84" s="87"/>
      <c r="G84" s="87"/>
      <c r="H84" s="87"/>
      <c r="I84" s="87"/>
      <c r="J84" s="87"/>
      <c r="K84" s="87"/>
      <c r="L84" s="87"/>
      <c r="M84" s="87"/>
      <c r="N84" s="87"/>
      <c r="O84" s="102"/>
      <c r="P84" s="102"/>
      <c r="Q84" s="102"/>
      <c r="R84" s="87"/>
      <c r="S84" s="87"/>
      <c r="T84" s="87"/>
      <c r="U84" s="87"/>
      <c r="V84" s="87"/>
      <c r="W84" s="87"/>
      <c r="X84" s="102"/>
      <c r="Y84" s="102"/>
      <c r="Z84" s="103"/>
      <c r="AA84" s="37" t="s">
        <v>65</v>
      </c>
      <c r="AB84" s="17">
        <f t="shared" si="9"/>
        <v>0</v>
      </c>
      <c r="AC84" s="29">
        <v>84</v>
      </c>
      <c r="AD84" s="2">
        <f t="shared" si="7"/>
        <v>7</v>
      </c>
      <c r="AE84" s="2">
        <f t="shared" si="8"/>
        <v>0</v>
      </c>
      <c r="AG84" s="35"/>
    </row>
    <row r="85" spans="1:33" x14ac:dyDescent="0.35">
      <c r="A85" s="159">
        <v>14</v>
      </c>
      <c r="B85" s="135" t="s">
        <v>98</v>
      </c>
      <c r="C85" s="210" t="s">
        <v>312</v>
      </c>
      <c r="D85" s="175" t="s">
        <v>356</v>
      </c>
      <c r="E85" s="290"/>
      <c r="F85" s="88"/>
      <c r="G85" s="88"/>
      <c r="H85" s="88"/>
      <c r="I85" s="88"/>
      <c r="J85" s="88"/>
      <c r="K85" s="88"/>
      <c r="L85" s="88"/>
      <c r="M85" s="88"/>
      <c r="N85" s="88"/>
      <c r="O85" s="106"/>
      <c r="P85" s="106"/>
      <c r="Q85" s="106"/>
      <c r="R85" s="88"/>
      <c r="S85" s="88"/>
      <c r="T85" s="88"/>
      <c r="U85" s="88"/>
      <c r="V85" s="88"/>
      <c r="W85" s="88"/>
      <c r="X85" s="106"/>
      <c r="Y85" s="106"/>
      <c r="Z85" s="107"/>
      <c r="AA85" s="37" t="s">
        <v>65</v>
      </c>
      <c r="AB85" s="17">
        <f t="shared" si="9"/>
        <v>0</v>
      </c>
      <c r="AC85" s="29">
        <v>84</v>
      </c>
      <c r="AD85" s="2">
        <f t="shared" si="7"/>
        <v>7</v>
      </c>
      <c r="AE85" s="2">
        <f t="shared" si="8"/>
        <v>0</v>
      </c>
      <c r="AG85" s="35"/>
    </row>
    <row r="86" spans="1:33" x14ac:dyDescent="0.35">
      <c r="A86" s="159">
        <v>14</v>
      </c>
      <c r="B86" s="135" t="s">
        <v>101</v>
      </c>
      <c r="C86" s="210" t="s">
        <v>326</v>
      </c>
      <c r="D86" s="175" t="s">
        <v>356</v>
      </c>
      <c r="E86" s="290"/>
      <c r="F86" s="88"/>
      <c r="G86" s="88"/>
      <c r="H86" s="88"/>
      <c r="I86" s="88"/>
      <c r="J86" s="88"/>
      <c r="K86" s="88"/>
      <c r="L86" s="88"/>
      <c r="M86" s="88"/>
      <c r="N86" s="88"/>
      <c r="O86" s="106"/>
      <c r="P86" s="106"/>
      <c r="Q86" s="106"/>
      <c r="R86" s="88"/>
      <c r="S86" s="88"/>
      <c r="T86" s="88"/>
      <c r="U86" s="88"/>
      <c r="V86" s="88"/>
      <c r="W86" s="88"/>
      <c r="X86" s="106"/>
      <c r="Y86" s="106"/>
      <c r="Z86" s="107"/>
      <c r="AA86" s="37" t="s">
        <v>65</v>
      </c>
      <c r="AB86" s="17">
        <f t="shared" si="9"/>
        <v>0</v>
      </c>
      <c r="AC86" s="29">
        <v>84</v>
      </c>
      <c r="AD86" s="2">
        <f t="shared" si="7"/>
        <v>7</v>
      </c>
      <c r="AE86" s="2">
        <f t="shared" si="8"/>
        <v>0</v>
      </c>
      <c r="AG86" s="35"/>
    </row>
    <row r="87" spans="1:33" x14ac:dyDescent="0.35">
      <c r="A87" s="159">
        <v>14</v>
      </c>
      <c r="B87" s="135" t="s">
        <v>101</v>
      </c>
      <c r="C87" s="210" t="s">
        <v>102</v>
      </c>
      <c r="D87" s="175" t="s">
        <v>356</v>
      </c>
      <c r="E87" s="290"/>
      <c r="F87" s="88"/>
      <c r="G87" s="88"/>
      <c r="H87" s="88"/>
      <c r="I87" s="88"/>
      <c r="J87" s="88"/>
      <c r="K87" s="88"/>
      <c r="L87" s="88"/>
      <c r="M87" s="88"/>
      <c r="N87" s="88"/>
      <c r="O87" s="106"/>
      <c r="P87" s="106"/>
      <c r="Q87" s="106"/>
      <c r="R87" s="88"/>
      <c r="S87" s="88"/>
      <c r="T87" s="88"/>
      <c r="U87" s="88"/>
      <c r="V87" s="88"/>
      <c r="W87" s="88"/>
      <c r="X87" s="106"/>
      <c r="Y87" s="106"/>
      <c r="Z87" s="107"/>
      <c r="AA87" s="37" t="s">
        <v>65</v>
      </c>
      <c r="AB87" s="17">
        <f t="shared" si="9"/>
        <v>0</v>
      </c>
      <c r="AC87" s="29">
        <v>84</v>
      </c>
      <c r="AD87" s="2">
        <f t="shared" si="7"/>
        <v>7</v>
      </c>
      <c r="AE87" s="2">
        <f t="shared" si="8"/>
        <v>0</v>
      </c>
      <c r="AG87" s="35"/>
    </row>
    <row r="88" spans="1:33" x14ac:dyDescent="0.35">
      <c r="A88" s="159">
        <v>14</v>
      </c>
      <c r="B88" s="135" t="s">
        <v>63</v>
      </c>
      <c r="C88" s="210" t="s">
        <v>64</v>
      </c>
      <c r="D88" s="175">
        <v>15</v>
      </c>
      <c r="E88" s="290"/>
      <c r="F88" s="88"/>
      <c r="G88" s="88"/>
      <c r="H88" s="88"/>
      <c r="I88" s="88"/>
      <c r="J88" s="88"/>
      <c r="K88" s="88"/>
      <c r="L88" s="88"/>
      <c r="M88" s="88"/>
      <c r="N88" s="94"/>
      <c r="O88" s="106"/>
      <c r="P88" s="106"/>
      <c r="Q88" s="106"/>
      <c r="R88" s="88"/>
      <c r="S88" s="88"/>
      <c r="T88" s="88"/>
      <c r="U88" s="88"/>
      <c r="V88" s="88"/>
      <c r="W88" s="88"/>
      <c r="X88" s="106"/>
      <c r="Y88" s="106"/>
      <c r="Z88" s="107"/>
      <c r="AA88" s="37" t="s">
        <v>65</v>
      </c>
      <c r="AB88" s="17">
        <f t="shared" si="9"/>
        <v>0</v>
      </c>
      <c r="AC88" s="29">
        <v>84</v>
      </c>
      <c r="AD88" s="2">
        <f t="shared" si="7"/>
        <v>7</v>
      </c>
      <c r="AE88" s="2">
        <f t="shared" si="8"/>
        <v>0</v>
      </c>
      <c r="AG88" s="35"/>
    </row>
    <row r="89" spans="1:33" x14ac:dyDescent="0.35">
      <c r="A89" s="159">
        <v>14</v>
      </c>
      <c r="B89" s="135" t="s">
        <v>101</v>
      </c>
      <c r="C89" s="210" t="s">
        <v>313</v>
      </c>
      <c r="D89" s="175" t="s">
        <v>356</v>
      </c>
      <c r="E89" s="290"/>
      <c r="F89" s="88"/>
      <c r="G89" s="88"/>
      <c r="H89" s="88"/>
      <c r="I89" s="88"/>
      <c r="J89" s="88"/>
      <c r="K89" s="88"/>
      <c r="L89" s="88"/>
      <c r="M89" s="88"/>
      <c r="N89" s="88"/>
      <c r="O89" s="106"/>
      <c r="P89" s="106"/>
      <c r="Q89" s="106"/>
      <c r="R89" s="88"/>
      <c r="S89" s="88"/>
      <c r="T89" s="88"/>
      <c r="U89" s="88"/>
      <c r="V89" s="88"/>
      <c r="W89" s="88"/>
      <c r="X89" s="106"/>
      <c r="Y89" s="106"/>
      <c r="Z89" s="107"/>
      <c r="AA89" s="37" t="s">
        <v>65</v>
      </c>
      <c r="AB89" s="17">
        <f t="shared" si="9"/>
        <v>0</v>
      </c>
      <c r="AC89" s="29">
        <v>84</v>
      </c>
      <c r="AD89" s="2">
        <f t="shared" si="7"/>
        <v>7</v>
      </c>
      <c r="AE89" s="2">
        <f t="shared" si="8"/>
        <v>0</v>
      </c>
      <c r="AG89" s="35"/>
    </row>
    <row r="90" spans="1:33" x14ac:dyDescent="0.35">
      <c r="A90" s="160">
        <v>14</v>
      </c>
      <c r="B90" s="139" t="s">
        <v>333</v>
      </c>
      <c r="C90" s="232" t="s">
        <v>332</v>
      </c>
      <c r="D90" s="179" t="s">
        <v>356</v>
      </c>
      <c r="E90" s="290"/>
      <c r="F90" s="91"/>
      <c r="G90" s="91"/>
      <c r="H90" s="91"/>
      <c r="I90" s="91"/>
      <c r="J90" s="91"/>
      <c r="K90" s="91"/>
      <c r="L90" s="91"/>
      <c r="M90" s="91"/>
      <c r="N90" s="91"/>
      <c r="O90" s="108"/>
      <c r="P90" s="108"/>
      <c r="Q90" s="108"/>
      <c r="R90" s="91"/>
      <c r="S90" s="91"/>
      <c r="T90" s="91"/>
      <c r="U90" s="91"/>
      <c r="V90" s="91"/>
      <c r="W90" s="91"/>
      <c r="X90" s="108"/>
      <c r="Y90" s="108"/>
      <c r="Z90" s="109"/>
      <c r="AA90" s="37" t="s">
        <v>331</v>
      </c>
      <c r="AB90" s="17">
        <f t="shared" si="9"/>
        <v>0</v>
      </c>
      <c r="AC90" s="29">
        <v>72</v>
      </c>
      <c r="AD90" s="2">
        <f t="shared" si="7"/>
        <v>6</v>
      </c>
      <c r="AE90" s="2">
        <f t="shared" si="8"/>
        <v>0</v>
      </c>
      <c r="AG90" s="35"/>
    </row>
    <row r="91" spans="1:33" ht="15" thickBot="1" x14ac:dyDescent="0.4">
      <c r="A91" s="162">
        <v>14</v>
      </c>
      <c r="B91" s="147" t="s">
        <v>103</v>
      </c>
      <c r="C91" s="225" t="s">
        <v>314</v>
      </c>
      <c r="D91" s="188" t="s">
        <v>356</v>
      </c>
      <c r="E91" s="291"/>
      <c r="F91" s="92"/>
      <c r="G91" s="92"/>
      <c r="H91" s="92"/>
      <c r="I91" s="92"/>
      <c r="J91" s="92"/>
      <c r="K91" s="92"/>
      <c r="L91" s="92"/>
      <c r="M91" s="92"/>
      <c r="N91" s="92"/>
      <c r="O91" s="112"/>
      <c r="P91" s="112"/>
      <c r="Q91" s="112"/>
      <c r="R91" s="92"/>
      <c r="S91" s="92"/>
      <c r="T91" s="92"/>
      <c r="U91" s="92"/>
      <c r="V91" s="92"/>
      <c r="W91" s="92"/>
      <c r="X91" s="112"/>
      <c r="Y91" s="112"/>
      <c r="Z91" s="113"/>
      <c r="AA91" s="37" t="s">
        <v>65</v>
      </c>
      <c r="AB91" s="17">
        <f t="shared" si="9"/>
        <v>0</v>
      </c>
      <c r="AC91" s="29">
        <v>84</v>
      </c>
      <c r="AD91" s="2">
        <f t="shared" si="7"/>
        <v>7</v>
      </c>
      <c r="AE91" s="2">
        <f t="shared" si="8"/>
        <v>0</v>
      </c>
      <c r="AG91" s="35"/>
    </row>
    <row r="92" spans="1:33" x14ac:dyDescent="0.35">
      <c r="A92" s="157">
        <v>15</v>
      </c>
      <c r="B92" s="131" t="s">
        <v>56</v>
      </c>
      <c r="C92" s="206" t="s">
        <v>57</v>
      </c>
      <c r="D92" s="172">
        <v>18</v>
      </c>
      <c r="E92" s="287"/>
      <c r="F92" s="87">
        <v>135</v>
      </c>
      <c r="G92" s="87"/>
      <c r="H92" s="87">
        <v>135</v>
      </c>
      <c r="I92" s="87">
        <v>135</v>
      </c>
      <c r="J92" s="87"/>
      <c r="K92" s="93">
        <v>135</v>
      </c>
      <c r="L92" s="93"/>
      <c r="M92" s="93"/>
      <c r="N92" s="93"/>
      <c r="O92" s="102"/>
      <c r="P92" s="102"/>
      <c r="Q92" s="102"/>
      <c r="R92" s="87"/>
      <c r="S92" s="87"/>
      <c r="T92" s="87"/>
      <c r="U92" s="87"/>
      <c r="V92" s="87"/>
      <c r="W92" s="87"/>
      <c r="X92" s="102"/>
      <c r="Y92" s="102"/>
      <c r="Z92" s="103"/>
      <c r="AA92" s="37" t="s">
        <v>56</v>
      </c>
      <c r="AB92" s="17">
        <f t="shared" si="9"/>
        <v>540</v>
      </c>
      <c r="AC92" s="29">
        <v>60</v>
      </c>
      <c r="AD92" s="2">
        <f t="shared" si="7"/>
        <v>5</v>
      </c>
      <c r="AE92" s="2">
        <f t="shared" si="8"/>
        <v>30</v>
      </c>
      <c r="AG92" s="35"/>
    </row>
    <row r="93" spans="1:33" x14ac:dyDescent="0.35">
      <c r="A93" s="159">
        <v>15</v>
      </c>
      <c r="B93" s="132" t="s">
        <v>56</v>
      </c>
      <c r="C93" s="207" t="s">
        <v>58</v>
      </c>
      <c r="D93" s="171">
        <v>18</v>
      </c>
      <c r="E93" s="290"/>
      <c r="F93" s="88"/>
      <c r="G93" s="88"/>
      <c r="H93" s="88"/>
      <c r="I93" s="88"/>
      <c r="J93" s="88"/>
      <c r="K93" s="88"/>
      <c r="L93" s="88">
        <v>135</v>
      </c>
      <c r="M93" s="88"/>
      <c r="N93" s="88">
        <v>135</v>
      </c>
      <c r="O93" s="106"/>
      <c r="P93" s="106"/>
      <c r="Q93" s="106"/>
      <c r="R93" s="88"/>
      <c r="S93" s="88"/>
      <c r="T93" s="88"/>
      <c r="U93" s="88"/>
      <c r="V93" s="88"/>
      <c r="W93" s="88"/>
      <c r="X93" s="106"/>
      <c r="Y93" s="106"/>
      <c r="Z93" s="107"/>
      <c r="AA93" s="37" t="s">
        <v>56</v>
      </c>
      <c r="AB93" s="17">
        <f t="shared" si="9"/>
        <v>270</v>
      </c>
      <c r="AC93" s="29">
        <v>60</v>
      </c>
      <c r="AD93" s="2">
        <f t="shared" si="7"/>
        <v>5</v>
      </c>
      <c r="AE93" s="2">
        <f t="shared" si="8"/>
        <v>15</v>
      </c>
      <c r="AG93" s="35"/>
    </row>
    <row r="94" spans="1:33" x14ac:dyDescent="0.35">
      <c r="A94" s="159">
        <v>15</v>
      </c>
      <c r="B94" s="143" t="s">
        <v>75</v>
      </c>
      <c r="C94" s="226" t="s">
        <v>76</v>
      </c>
      <c r="D94" s="184">
        <v>15</v>
      </c>
      <c r="E94" s="290"/>
      <c r="F94" s="88"/>
      <c r="G94" s="88"/>
      <c r="H94" s="88"/>
      <c r="I94" s="88"/>
      <c r="J94" s="88"/>
      <c r="K94" s="88"/>
      <c r="L94" s="88"/>
      <c r="M94" s="88"/>
      <c r="N94" s="88"/>
      <c r="O94" s="106"/>
      <c r="P94" s="106"/>
      <c r="Q94" s="106"/>
      <c r="R94" s="88"/>
      <c r="S94" s="88"/>
      <c r="T94" s="88"/>
      <c r="U94" s="88"/>
      <c r="V94" s="88"/>
      <c r="W94" s="88"/>
      <c r="X94" s="106"/>
      <c r="Y94" s="106"/>
      <c r="Z94" s="107"/>
      <c r="AA94" s="34" t="s">
        <v>75</v>
      </c>
      <c r="AB94" s="17">
        <f t="shared" si="9"/>
        <v>0</v>
      </c>
      <c r="AC94" s="29">
        <v>84</v>
      </c>
      <c r="AD94" s="2">
        <f t="shared" si="7"/>
        <v>7</v>
      </c>
      <c r="AE94" s="2">
        <f t="shared" si="8"/>
        <v>0</v>
      </c>
      <c r="AG94" s="35"/>
    </row>
    <row r="95" spans="1:33" x14ac:dyDescent="0.35">
      <c r="A95" s="159">
        <v>15</v>
      </c>
      <c r="B95" s="132" t="s">
        <v>104</v>
      </c>
      <c r="C95" s="207" t="s">
        <v>105</v>
      </c>
      <c r="D95" s="171"/>
      <c r="E95" s="290"/>
      <c r="F95" s="88"/>
      <c r="G95" s="88"/>
      <c r="H95" s="88"/>
      <c r="I95" s="88"/>
      <c r="J95" s="88"/>
      <c r="K95" s="88"/>
      <c r="L95" s="88"/>
      <c r="M95" s="88"/>
      <c r="N95" s="95"/>
      <c r="O95" s="106"/>
      <c r="P95" s="106"/>
      <c r="Q95" s="106"/>
      <c r="R95" s="88"/>
      <c r="S95" s="88"/>
      <c r="T95" s="88"/>
      <c r="U95" s="88"/>
      <c r="V95" s="88"/>
      <c r="W95" s="88"/>
      <c r="X95" s="106"/>
      <c r="Y95" s="106"/>
      <c r="Z95" s="107"/>
      <c r="AA95" s="34" t="s">
        <v>104</v>
      </c>
      <c r="AB95" s="17">
        <f t="shared" si="9"/>
        <v>0</v>
      </c>
      <c r="AC95" s="29">
        <v>72</v>
      </c>
      <c r="AD95" s="2">
        <f t="shared" si="7"/>
        <v>6</v>
      </c>
      <c r="AE95" s="2">
        <f t="shared" si="8"/>
        <v>0</v>
      </c>
      <c r="AG95" s="35"/>
    </row>
    <row r="96" spans="1:33" ht="15" thickBot="1" x14ac:dyDescent="0.4">
      <c r="A96" s="162">
        <v>15</v>
      </c>
      <c r="B96" s="138" t="s">
        <v>299</v>
      </c>
      <c r="C96" s="126" t="s">
        <v>334</v>
      </c>
      <c r="D96" s="177">
        <v>18</v>
      </c>
      <c r="E96" s="291"/>
      <c r="F96" s="92"/>
      <c r="G96" s="92"/>
      <c r="H96" s="92"/>
      <c r="I96" s="92"/>
      <c r="J96" s="92"/>
      <c r="K96" s="92"/>
      <c r="L96" s="92"/>
      <c r="M96" s="92"/>
      <c r="N96" s="92"/>
      <c r="O96" s="112"/>
      <c r="P96" s="112"/>
      <c r="Q96" s="112"/>
      <c r="R96" s="92"/>
      <c r="S96" s="92"/>
      <c r="T96" s="92"/>
      <c r="U96" s="92"/>
      <c r="V96" s="92"/>
      <c r="W96" s="92"/>
      <c r="X96" s="112"/>
      <c r="Y96" s="112"/>
      <c r="Z96" s="113"/>
      <c r="AA96" s="37" t="s">
        <v>56</v>
      </c>
      <c r="AB96" s="17">
        <f t="shared" si="9"/>
        <v>0</v>
      </c>
      <c r="AC96" s="29">
        <v>60</v>
      </c>
      <c r="AD96" s="2">
        <f t="shared" si="7"/>
        <v>5</v>
      </c>
      <c r="AE96" s="2">
        <f t="shared" si="8"/>
        <v>0</v>
      </c>
      <c r="AG96" s="35"/>
    </row>
    <row r="97" spans="1:33" x14ac:dyDescent="0.35">
      <c r="A97" s="157">
        <v>16</v>
      </c>
      <c r="B97" s="136" t="s">
        <v>98</v>
      </c>
      <c r="C97" s="228" t="s">
        <v>327</v>
      </c>
      <c r="D97" s="169" t="s">
        <v>356</v>
      </c>
      <c r="E97" s="287"/>
      <c r="F97" s="87"/>
      <c r="G97" s="87"/>
      <c r="H97" s="87"/>
      <c r="I97" s="87"/>
      <c r="J97" s="87"/>
      <c r="K97" s="87"/>
      <c r="L97" s="87"/>
      <c r="M97" s="87"/>
      <c r="N97" s="87"/>
      <c r="O97" s="102"/>
      <c r="P97" s="102"/>
      <c r="Q97" s="102"/>
      <c r="R97" s="87"/>
      <c r="S97" s="87"/>
      <c r="T97" s="87"/>
      <c r="U97" s="87"/>
      <c r="V97" s="87"/>
      <c r="W97" s="87"/>
      <c r="X97" s="102"/>
      <c r="Y97" s="102"/>
      <c r="Z97" s="103"/>
      <c r="AA97" s="37" t="s">
        <v>65</v>
      </c>
      <c r="AB97" s="17">
        <f t="shared" si="9"/>
        <v>0</v>
      </c>
      <c r="AC97" s="29">
        <v>84</v>
      </c>
      <c r="AD97" s="2">
        <f t="shared" si="7"/>
        <v>7</v>
      </c>
      <c r="AE97" s="2">
        <f t="shared" si="8"/>
        <v>0</v>
      </c>
      <c r="AG97" s="35"/>
    </row>
    <row r="98" spans="1:33" x14ac:dyDescent="0.35">
      <c r="A98" s="159">
        <v>16</v>
      </c>
      <c r="B98" s="135" t="s">
        <v>98</v>
      </c>
      <c r="C98" s="210" t="s">
        <v>312</v>
      </c>
      <c r="D98" s="175" t="s">
        <v>356</v>
      </c>
      <c r="E98" s="290"/>
      <c r="F98" s="88"/>
      <c r="G98" s="88"/>
      <c r="H98" s="88"/>
      <c r="I98" s="88"/>
      <c r="J98" s="88"/>
      <c r="K98" s="88"/>
      <c r="L98" s="88"/>
      <c r="M98" s="88"/>
      <c r="N98" s="88"/>
      <c r="O98" s="106"/>
      <c r="P98" s="106"/>
      <c r="Q98" s="106"/>
      <c r="R98" s="88"/>
      <c r="S98" s="88"/>
      <c r="T98" s="88"/>
      <c r="U98" s="88"/>
      <c r="V98" s="88"/>
      <c r="W98" s="88"/>
      <c r="X98" s="106"/>
      <c r="Y98" s="106"/>
      <c r="Z98" s="107"/>
      <c r="AA98" s="37" t="s">
        <v>65</v>
      </c>
      <c r="AB98" s="17">
        <f t="shared" si="9"/>
        <v>0</v>
      </c>
      <c r="AC98" s="29">
        <v>84</v>
      </c>
      <c r="AD98" s="2">
        <f t="shared" si="7"/>
        <v>7</v>
      </c>
      <c r="AE98" s="2">
        <f t="shared" si="8"/>
        <v>0</v>
      </c>
      <c r="AG98" s="35"/>
    </row>
    <row r="99" spans="1:33" x14ac:dyDescent="0.35">
      <c r="A99" s="159">
        <v>16</v>
      </c>
      <c r="B99" s="135" t="s">
        <v>106</v>
      </c>
      <c r="C99" s="210" t="s">
        <v>100</v>
      </c>
      <c r="D99" s="175" t="s">
        <v>356</v>
      </c>
      <c r="E99" s="290"/>
      <c r="F99" s="88"/>
      <c r="G99" s="88"/>
      <c r="H99" s="88"/>
      <c r="I99" s="88"/>
      <c r="J99" s="88"/>
      <c r="K99" s="88"/>
      <c r="L99" s="88"/>
      <c r="M99" s="88"/>
      <c r="N99" s="88"/>
      <c r="O99" s="106"/>
      <c r="P99" s="106"/>
      <c r="Q99" s="106"/>
      <c r="R99" s="88"/>
      <c r="S99" s="88"/>
      <c r="T99" s="88"/>
      <c r="U99" s="88"/>
      <c r="V99" s="88"/>
      <c r="W99" s="88"/>
      <c r="X99" s="106"/>
      <c r="Y99" s="106"/>
      <c r="Z99" s="107"/>
      <c r="AA99" s="37" t="s">
        <v>65</v>
      </c>
      <c r="AB99" s="17">
        <f t="shared" si="9"/>
        <v>0</v>
      </c>
      <c r="AC99" s="29">
        <v>84</v>
      </c>
      <c r="AD99" s="2">
        <f t="shared" si="7"/>
        <v>7</v>
      </c>
      <c r="AE99" s="2">
        <f t="shared" si="8"/>
        <v>0</v>
      </c>
      <c r="AG99" s="35"/>
    </row>
    <row r="100" spans="1:33" x14ac:dyDescent="0.35">
      <c r="A100" s="159">
        <v>16</v>
      </c>
      <c r="B100" s="135" t="s">
        <v>106</v>
      </c>
      <c r="C100" s="210" t="s">
        <v>99</v>
      </c>
      <c r="D100" s="175" t="s">
        <v>356</v>
      </c>
      <c r="E100" s="290"/>
      <c r="F100" s="88"/>
      <c r="G100" s="88"/>
      <c r="H100" s="88"/>
      <c r="I100" s="88"/>
      <c r="J100" s="88"/>
      <c r="K100" s="88"/>
      <c r="L100" s="88"/>
      <c r="M100" s="88"/>
      <c r="N100" s="88"/>
      <c r="O100" s="106"/>
      <c r="P100" s="106"/>
      <c r="Q100" s="106"/>
      <c r="R100" s="88"/>
      <c r="S100" s="88"/>
      <c r="T100" s="88"/>
      <c r="U100" s="88"/>
      <c r="V100" s="88"/>
      <c r="W100" s="88"/>
      <c r="X100" s="106"/>
      <c r="Y100" s="106"/>
      <c r="Z100" s="107"/>
      <c r="AA100" s="37" t="s">
        <v>65</v>
      </c>
      <c r="AB100" s="17">
        <f t="shared" si="9"/>
        <v>0</v>
      </c>
      <c r="AC100" s="29">
        <v>84</v>
      </c>
      <c r="AD100" s="2">
        <f t="shared" si="7"/>
        <v>7</v>
      </c>
      <c r="AE100" s="2">
        <f t="shared" si="8"/>
        <v>0</v>
      </c>
      <c r="AG100" s="35"/>
    </row>
    <row r="101" spans="1:33" x14ac:dyDescent="0.35">
      <c r="A101" s="159">
        <v>16</v>
      </c>
      <c r="B101" s="135" t="s">
        <v>25</v>
      </c>
      <c r="C101" s="210" t="s">
        <v>26</v>
      </c>
      <c r="D101" s="175">
        <v>18</v>
      </c>
      <c r="E101" s="290"/>
      <c r="F101" s="88"/>
      <c r="G101" s="88"/>
      <c r="H101" s="88"/>
      <c r="I101" s="88"/>
      <c r="J101" s="88"/>
      <c r="K101" s="88"/>
      <c r="L101" s="88"/>
      <c r="M101" s="88"/>
      <c r="N101" s="88"/>
      <c r="O101" s="106"/>
      <c r="P101" s="106"/>
      <c r="Q101" s="106"/>
      <c r="R101" s="88"/>
      <c r="S101" s="88"/>
      <c r="T101" s="88"/>
      <c r="U101" s="88"/>
      <c r="V101" s="88"/>
      <c r="W101" s="88"/>
      <c r="X101" s="106"/>
      <c r="Y101" s="106"/>
      <c r="Z101" s="107"/>
      <c r="AA101" s="34" t="s">
        <v>25</v>
      </c>
      <c r="AB101" s="17">
        <f t="shared" si="9"/>
        <v>0</v>
      </c>
      <c r="AC101" s="29">
        <v>60</v>
      </c>
      <c r="AD101" s="2">
        <f t="shared" si="7"/>
        <v>5</v>
      </c>
      <c r="AE101" s="2">
        <f t="shared" si="8"/>
        <v>0</v>
      </c>
      <c r="AG101" s="35"/>
    </row>
    <row r="102" spans="1:33" x14ac:dyDescent="0.35">
      <c r="A102" s="159">
        <v>16</v>
      </c>
      <c r="B102" s="133" t="s">
        <v>459</v>
      </c>
      <c r="C102" s="227" t="s">
        <v>460</v>
      </c>
      <c r="D102" s="175">
        <v>17</v>
      </c>
      <c r="E102" s="290"/>
      <c r="F102" s="88"/>
      <c r="G102" s="88"/>
      <c r="H102" s="88"/>
      <c r="I102" s="88"/>
      <c r="J102" s="88"/>
      <c r="K102" s="88"/>
      <c r="L102" s="88"/>
      <c r="M102" s="88"/>
      <c r="N102" s="88"/>
      <c r="O102" s="106"/>
      <c r="P102" s="106"/>
      <c r="Q102" s="106"/>
      <c r="R102" s="88"/>
      <c r="S102" s="88"/>
      <c r="T102" s="88"/>
      <c r="U102" s="88"/>
      <c r="V102" s="88"/>
      <c r="W102" s="88"/>
      <c r="X102" s="106"/>
      <c r="Y102" s="106"/>
      <c r="Z102" s="107"/>
      <c r="AA102" s="37" t="s">
        <v>56</v>
      </c>
      <c r="AB102" s="17">
        <f t="shared" si="9"/>
        <v>0</v>
      </c>
      <c r="AC102" s="29">
        <v>60</v>
      </c>
      <c r="AD102" s="2">
        <f t="shared" ref="AD102" si="10">AC102/12</f>
        <v>5</v>
      </c>
      <c r="AE102" s="2">
        <f t="shared" ref="AE102" si="11">ROUND(IFERROR(AB102/D102,0),)</f>
        <v>0</v>
      </c>
      <c r="AG102" s="35"/>
    </row>
    <row r="103" spans="1:33" x14ac:dyDescent="0.35">
      <c r="A103" s="159">
        <v>16</v>
      </c>
      <c r="B103" s="135" t="s">
        <v>56</v>
      </c>
      <c r="C103" s="210" t="s">
        <v>57</v>
      </c>
      <c r="D103" s="171">
        <v>18</v>
      </c>
      <c r="E103" s="290"/>
      <c r="F103" s="88"/>
      <c r="G103" s="88"/>
      <c r="H103" s="88"/>
      <c r="I103" s="88"/>
      <c r="J103" s="88"/>
      <c r="K103" s="88"/>
      <c r="L103" s="88"/>
      <c r="M103" s="88"/>
      <c r="N103" s="88"/>
      <c r="O103" s="106"/>
      <c r="P103" s="106"/>
      <c r="Q103" s="106"/>
      <c r="R103" s="88"/>
      <c r="S103" s="88"/>
      <c r="T103" s="88"/>
      <c r="U103" s="88"/>
      <c r="V103" s="88"/>
      <c r="W103" s="88"/>
      <c r="X103" s="106"/>
      <c r="Y103" s="106"/>
      <c r="Z103" s="107"/>
      <c r="AA103" s="37" t="s">
        <v>56</v>
      </c>
      <c r="AB103" s="17">
        <f t="shared" si="9"/>
        <v>0</v>
      </c>
      <c r="AC103" s="29">
        <v>60</v>
      </c>
      <c r="AD103" s="2">
        <f t="shared" si="7"/>
        <v>5</v>
      </c>
      <c r="AE103" s="2">
        <f t="shared" si="8"/>
        <v>0</v>
      </c>
      <c r="AG103" s="35"/>
    </row>
    <row r="104" spans="1:33" x14ac:dyDescent="0.35">
      <c r="A104" s="159">
        <v>16</v>
      </c>
      <c r="B104" s="135" t="s">
        <v>56</v>
      </c>
      <c r="C104" s="210" t="s">
        <v>58</v>
      </c>
      <c r="D104" s="175">
        <v>18</v>
      </c>
      <c r="E104" s="290"/>
      <c r="F104" s="88"/>
      <c r="G104" s="88"/>
      <c r="H104" s="88"/>
      <c r="I104" s="88"/>
      <c r="J104" s="88"/>
      <c r="K104" s="88"/>
      <c r="L104" s="88"/>
      <c r="M104" s="88"/>
      <c r="N104" s="88"/>
      <c r="O104" s="106"/>
      <c r="P104" s="106"/>
      <c r="Q104" s="106"/>
      <c r="R104" s="88"/>
      <c r="S104" s="88"/>
      <c r="T104" s="88"/>
      <c r="U104" s="88"/>
      <c r="V104" s="88"/>
      <c r="W104" s="88"/>
      <c r="X104" s="106"/>
      <c r="Y104" s="106"/>
      <c r="Z104" s="107"/>
      <c r="AA104" s="37" t="s">
        <v>56</v>
      </c>
      <c r="AB104" s="17">
        <f t="shared" si="9"/>
        <v>0</v>
      </c>
      <c r="AC104" s="29">
        <v>60</v>
      </c>
      <c r="AD104" s="2">
        <f t="shared" si="7"/>
        <v>5</v>
      </c>
      <c r="AE104" s="2">
        <f t="shared" si="8"/>
        <v>0</v>
      </c>
      <c r="AG104" s="35"/>
    </row>
    <row r="105" spans="1:33" x14ac:dyDescent="0.35">
      <c r="A105" s="160">
        <v>16</v>
      </c>
      <c r="B105" s="139" t="s">
        <v>75</v>
      </c>
      <c r="C105" s="232" t="s">
        <v>76</v>
      </c>
      <c r="D105" s="179">
        <v>15</v>
      </c>
      <c r="E105" s="290"/>
      <c r="F105" s="88"/>
      <c r="G105" s="88"/>
      <c r="H105" s="88"/>
      <c r="I105" s="88"/>
      <c r="J105" s="88"/>
      <c r="K105" s="88"/>
      <c r="L105" s="88"/>
      <c r="M105" s="88"/>
      <c r="N105" s="88"/>
      <c r="O105" s="106"/>
      <c r="P105" s="106"/>
      <c r="Q105" s="106"/>
      <c r="R105" s="88"/>
      <c r="S105" s="88"/>
      <c r="T105" s="88"/>
      <c r="U105" s="88"/>
      <c r="V105" s="88"/>
      <c r="W105" s="88"/>
      <c r="X105" s="106"/>
      <c r="Y105" s="106"/>
      <c r="Z105" s="107"/>
      <c r="AA105" s="34" t="s">
        <v>75</v>
      </c>
      <c r="AB105" s="17">
        <f t="shared" si="9"/>
        <v>0</v>
      </c>
      <c r="AC105" s="29">
        <v>84</v>
      </c>
      <c r="AD105" s="2">
        <f t="shared" si="7"/>
        <v>7</v>
      </c>
      <c r="AE105" s="2">
        <f t="shared" si="8"/>
        <v>0</v>
      </c>
      <c r="AG105" s="35"/>
    </row>
    <row r="106" spans="1:33" ht="15" thickBot="1" x14ac:dyDescent="0.4">
      <c r="A106" s="160">
        <v>16</v>
      </c>
      <c r="B106" s="139" t="s">
        <v>299</v>
      </c>
      <c r="C106" s="210" t="s">
        <v>334</v>
      </c>
      <c r="D106" s="175">
        <v>17</v>
      </c>
      <c r="E106" s="291"/>
      <c r="F106" s="88"/>
      <c r="G106" s="91"/>
      <c r="H106" s="91"/>
      <c r="I106" s="91"/>
      <c r="J106" s="91"/>
      <c r="K106" s="91"/>
      <c r="L106" s="91"/>
      <c r="M106" s="91"/>
      <c r="N106" s="91"/>
      <c r="O106" s="108"/>
      <c r="P106" s="108"/>
      <c r="Q106" s="108"/>
      <c r="R106" s="91"/>
      <c r="S106" s="91"/>
      <c r="T106" s="91"/>
      <c r="U106" s="91"/>
      <c r="V106" s="91"/>
      <c r="W106" s="91"/>
      <c r="X106" s="108"/>
      <c r="Y106" s="108"/>
      <c r="Z106" s="109"/>
      <c r="AA106" s="34" t="s">
        <v>290</v>
      </c>
      <c r="AB106" s="17">
        <f t="shared" si="9"/>
        <v>0</v>
      </c>
      <c r="AC106" s="29">
        <v>60</v>
      </c>
      <c r="AD106" s="2">
        <f t="shared" si="7"/>
        <v>5</v>
      </c>
      <c r="AE106" s="2">
        <f t="shared" si="8"/>
        <v>0</v>
      </c>
      <c r="AG106" s="35"/>
    </row>
    <row r="107" spans="1:33" x14ac:dyDescent="0.35">
      <c r="A107" s="157">
        <v>17</v>
      </c>
      <c r="B107" s="151" t="s">
        <v>510</v>
      </c>
      <c r="C107" s="231" t="s">
        <v>33</v>
      </c>
      <c r="D107" s="193" t="s">
        <v>391</v>
      </c>
      <c r="E107" s="298"/>
      <c r="F107" s="87"/>
      <c r="G107" s="87"/>
      <c r="H107" s="87"/>
      <c r="I107" s="87"/>
      <c r="J107" s="87"/>
      <c r="K107" s="87"/>
      <c r="L107" s="87"/>
      <c r="M107" s="87"/>
      <c r="N107" s="87"/>
      <c r="O107" s="102"/>
      <c r="P107" s="102"/>
      <c r="Q107" s="102"/>
      <c r="R107" s="87"/>
      <c r="S107" s="87"/>
      <c r="T107" s="87"/>
      <c r="U107" s="87"/>
      <c r="V107" s="87"/>
      <c r="W107" s="87"/>
      <c r="X107" s="102"/>
      <c r="Y107" s="102"/>
      <c r="Z107" s="103"/>
      <c r="AA107" s="34" t="s">
        <v>32</v>
      </c>
      <c r="AB107" s="17">
        <f t="shared" si="9"/>
        <v>0</v>
      </c>
      <c r="AC107" s="29">
        <v>60</v>
      </c>
      <c r="AD107" s="2">
        <f t="shared" si="7"/>
        <v>5</v>
      </c>
      <c r="AE107" s="2">
        <f t="shared" si="8"/>
        <v>0</v>
      </c>
      <c r="AG107" s="35"/>
    </row>
    <row r="108" spans="1:33" x14ac:dyDescent="0.35">
      <c r="A108" s="159">
        <v>17</v>
      </c>
      <c r="B108" s="150" t="s">
        <v>510</v>
      </c>
      <c r="C108" s="210" t="s">
        <v>265</v>
      </c>
      <c r="D108" s="175" t="s">
        <v>391</v>
      </c>
      <c r="E108" s="299"/>
      <c r="F108" s="88"/>
      <c r="G108" s="88"/>
      <c r="H108" s="88"/>
      <c r="I108" s="88"/>
      <c r="J108" s="88"/>
      <c r="K108" s="88"/>
      <c r="L108" s="88"/>
      <c r="M108" s="88"/>
      <c r="N108" s="88"/>
      <c r="O108" s="106"/>
      <c r="P108" s="106"/>
      <c r="Q108" s="106"/>
      <c r="R108" s="88"/>
      <c r="S108" s="88"/>
      <c r="T108" s="88"/>
      <c r="U108" s="88"/>
      <c r="V108" s="88"/>
      <c r="W108" s="88"/>
      <c r="X108" s="106"/>
      <c r="Y108" s="106"/>
      <c r="Z108" s="107"/>
      <c r="AA108" s="37" t="s">
        <v>32</v>
      </c>
      <c r="AB108" s="17">
        <f t="shared" si="9"/>
        <v>0</v>
      </c>
      <c r="AC108" s="29">
        <v>60</v>
      </c>
      <c r="AD108" s="2">
        <f t="shared" si="7"/>
        <v>5</v>
      </c>
      <c r="AE108" s="2">
        <f t="shared" si="8"/>
        <v>0</v>
      </c>
      <c r="AG108" s="35"/>
    </row>
    <row r="109" spans="1:33" x14ac:dyDescent="0.35">
      <c r="A109" s="159">
        <v>17</v>
      </c>
      <c r="B109" s="150" t="s">
        <v>511</v>
      </c>
      <c r="C109" s="210" t="s">
        <v>428</v>
      </c>
      <c r="D109" s="175" t="s">
        <v>391</v>
      </c>
      <c r="E109" s="299"/>
      <c r="F109" s="88"/>
      <c r="G109" s="88"/>
      <c r="H109" s="88"/>
      <c r="I109" s="88"/>
      <c r="J109" s="88"/>
      <c r="K109" s="88"/>
      <c r="L109" s="94"/>
      <c r="M109" s="88"/>
      <c r="N109" s="88"/>
      <c r="O109" s="106"/>
      <c r="P109" s="106"/>
      <c r="Q109" s="106"/>
      <c r="R109" s="88"/>
      <c r="S109" s="88"/>
      <c r="T109" s="88"/>
      <c r="U109" s="88"/>
      <c r="V109" s="88"/>
      <c r="W109" s="88"/>
      <c r="X109" s="106"/>
      <c r="Y109" s="106"/>
      <c r="Z109" s="107"/>
      <c r="AA109" s="37" t="s">
        <v>32</v>
      </c>
      <c r="AB109" s="17">
        <f t="shared" si="9"/>
        <v>0</v>
      </c>
      <c r="AC109" s="29">
        <v>60</v>
      </c>
      <c r="AD109" s="2">
        <f t="shared" si="7"/>
        <v>5</v>
      </c>
      <c r="AE109" s="2">
        <f t="shared" si="8"/>
        <v>0</v>
      </c>
      <c r="AG109" s="35"/>
    </row>
    <row r="110" spans="1:33" x14ac:dyDescent="0.35">
      <c r="A110" s="159">
        <v>17</v>
      </c>
      <c r="B110" s="150" t="s">
        <v>512</v>
      </c>
      <c r="C110" s="210" t="s">
        <v>424</v>
      </c>
      <c r="D110" s="175" t="s">
        <v>391</v>
      </c>
      <c r="E110" s="299"/>
      <c r="F110" s="88"/>
      <c r="G110" s="88"/>
      <c r="H110" s="88"/>
      <c r="I110" s="88"/>
      <c r="J110" s="88"/>
      <c r="K110" s="88"/>
      <c r="L110" s="88"/>
      <c r="M110" s="88"/>
      <c r="N110" s="88"/>
      <c r="O110" s="106"/>
      <c r="P110" s="106"/>
      <c r="Q110" s="106"/>
      <c r="R110" s="88"/>
      <c r="S110" s="88"/>
      <c r="T110" s="88"/>
      <c r="U110" s="88"/>
      <c r="V110" s="88"/>
      <c r="W110" s="88"/>
      <c r="X110" s="106"/>
      <c r="Y110" s="106"/>
      <c r="Z110" s="107"/>
      <c r="AA110" s="37" t="s">
        <v>32</v>
      </c>
      <c r="AB110" s="17">
        <f t="shared" si="9"/>
        <v>0</v>
      </c>
      <c r="AC110" s="29">
        <v>60</v>
      </c>
      <c r="AD110" s="2">
        <f t="shared" si="7"/>
        <v>5</v>
      </c>
      <c r="AE110" s="2">
        <f t="shared" si="8"/>
        <v>0</v>
      </c>
      <c r="AG110" s="35"/>
    </row>
    <row r="111" spans="1:33" x14ac:dyDescent="0.35">
      <c r="A111" s="159">
        <v>17</v>
      </c>
      <c r="B111" s="150" t="s">
        <v>512</v>
      </c>
      <c r="C111" s="210" t="s">
        <v>421</v>
      </c>
      <c r="D111" s="175" t="s">
        <v>391</v>
      </c>
      <c r="E111" s="299"/>
      <c r="F111" s="88"/>
      <c r="G111" s="88"/>
      <c r="H111" s="88"/>
      <c r="I111" s="88"/>
      <c r="J111" s="88"/>
      <c r="K111" s="88"/>
      <c r="L111" s="88"/>
      <c r="M111" s="88"/>
      <c r="N111" s="88"/>
      <c r="O111" s="106"/>
      <c r="P111" s="106"/>
      <c r="Q111" s="106"/>
      <c r="R111" s="88"/>
      <c r="S111" s="88"/>
      <c r="T111" s="97"/>
      <c r="U111" s="97"/>
      <c r="V111" s="88"/>
      <c r="W111" s="88"/>
      <c r="X111" s="106"/>
      <c r="Y111" s="106"/>
      <c r="Z111" s="107"/>
      <c r="AA111" s="37" t="s">
        <v>32</v>
      </c>
      <c r="AB111" s="17">
        <f t="shared" si="9"/>
        <v>0</v>
      </c>
      <c r="AC111" s="29">
        <v>60</v>
      </c>
      <c r="AD111" s="2">
        <f t="shared" si="7"/>
        <v>5</v>
      </c>
      <c r="AE111" s="2">
        <f t="shared" si="8"/>
        <v>0</v>
      </c>
      <c r="AG111" s="35"/>
    </row>
    <row r="112" spans="1:33" x14ac:dyDescent="0.35">
      <c r="A112" s="159">
        <v>17</v>
      </c>
      <c r="B112" s="150" t="s">
        <v>388</v>
      </c>
      <c r="C112" s="210" t="s">
        <v>389</v>
      </c>
      <c r="D112" s="175" t="s">
        <v>391</v>
      </c>
      <c r="E112" s="299"/>
      <c r="F112" s="88"/>
      <c r="G112" s="88"/>
      <c r="H112" s="88"/>
      <c r="I112" s="88"/>
      <c r="J112" s="88"/>
      <c r="K112" s="88"/>
      <c r="L112" s="94"/>
      <c r="M112" s="88"/>
      <c r="N112" s="88"/>
      <c r="O112" s="106"/>
      <c r="P112" s="106"/>
      <c r="Q112" s="106"/>
      <c r="R112" s="88"/>
      <c r="S112" s="88"/>
      <c r="T112" s="88"/>
      <c r="U112" s="88"/>
      <c r="V112" s="88"/>
      <c r="W112" s="88"/>
      <c r="X112" s="106"/>
      <c r="Y112" s="106"/>
      <c r="Z112" s="107"/>
      <c r="AA112" s="37" t="s">
        <v>32</v>
      </c>
      <c r="AB112" s="17">
        <f t="shared" si="9"/>
        <v>0</v>
      </c>
      <c r="AC112" s="29">
        <v>60</v>
      </c>
      <c r="AD112" s="2">
        <f t="shared" si="7"/>
        <v>5</v>
      </c>
      <c r="AE112" s="2">
        <f t="shared" si="8"/>
        <v>0</v>
      </c>
      <c r="AG112" s="35"/>
    </row>
    <row r="113" spans="1:33" x14ac:dyDescent="0.35">
      <c r="A113" s="159">
        <v>17</v>
      </c>
      <c r="B113" s="140" t="s">
        <v>377</v>
      </c>
      <c r="C113" s="230" t="s">
        <v>378</v>
      </c>
      <c r="D113" s="175"/>
      <c r="E113" s="299"/>
      <c r="F113" s="267">
        <v>18</v>
      </c>
      <c r="G113" s="88"/>
      <c r="H113" s="88"/>
      <c r="I113" s="88"/>
      <c r="J113" s="88"/>
      <c r="K113" s="88"/>
      <c r="L113" s="88"/>
      <c r="M113" s="88"/>
      <c r="N113" s="88"/>
      <c r="O113" s="106"/>
      <c r="P113" s="106"/>
      <c r="Q113" s="106"/>
      <c r="R113" s="88"/>
      <c r="S113" s="88"/>
      <c r="T113" s="88"/>
      <c r="U113" s="88"/>
      <c r="V113" s="88"/>
      <c r="W113" s="88"/>
      <c r="X113" s="106"/>
      <c r="Y113" s="106"/>
      <c r="Z113" s="107"/>
      <c r="AA113" s="37" t="s">
        <v>32</v>
      </c>
      <c r="AB113" s="17">
        <f t="shared" si="9"/>
        <v>18</v>
      </c>
      <c r="AC113" s="29"/>
      <c r="AD113" s="2">
        <f t="shared" si="7"/>
        <v>0</v>
      </c>
      <c r="AE113" s="2">
        <f t="shared" si="8"/>
        <v>0</v>
      </c>
      <c r="AG113" s="35"/>
    </row>
    <row r="114" spans="1:33" ht="15" thickBot="1" x14ac:dyDescent="0.4">
      <c r="A114" s="18">
        <v>17</v>
      </c>
      <c r="B114" s="137" t="s">
        <v>280</v>
      </c>
      <c r="C114" s="233" t="s">
        <v>458</v>
      </c>
      <c r="D114" s="180" t="s">
        <v>391</v>
      </c>
      <c r="E114" s="299"/>
      <c r="F114" s="91"/>
      <c r="G114" s="91"/>
      <c r="H114" s="91"/>
      <c r="I114" s="91"/>
      <c r="J114" s="91"/>
      <c r="K114" s="91"/>
      <c r="L114" s="91"/>
      <c r="M114" s="91"/>
      <c r="N114" s="91"/>
      <c r="O114" s="108"/>
      <c r="P114" s="108"/>
      <c r="Q114" s="108"/>
      <c r="R114" s="91"/>
      <c r="S114" s="91"/>
      <c r="T114" s="91"/>
      <c r="U114" s="91"/>
      <c r="V114" s="91"/>
      <c r="W114" s="91"/>
      <c r="X114" s="112"/>
      <c r="Y114" s="112"/>
      <c r="Z114" s="113"/>
      <c r="AA114" s="34" t="s">
        <v>282</v>
      </c>
      <c r="AB114" s="17">
        <f t="shared" si="9"/>
        <v>0</v>
      </c>
      <c r="AC114" s="29"/>
      <c r="AD114" s="2">
        <f t="shared" si="7"/>
        <v>0</v>
      </c>
      <c r="AE114" s="2">
        <f t="shared" si="8"/>
        <v>0</v>
      </c>
      <c r="AG114" s="35"/>
    </row>
    <row r="115" spans="1:33" x14ac:dyDescent="0.35">
      <c r="A115" s="158">
        <v>18</v>
      </c>
      <c r="B115" s="134" t="s">
        <v>40</v>
      </c>
      <c r="C115" s="209" t="s">
        <v>403</v>
      </c>
      <c r="D115" s="170">
        <v>18</v>
      </c>
      <c r="E115" s="287"/>
      <c r="F115" s="88"/>
      <c r="G115" s="88"/>
      <c r="H115" s="88"/>
      <c r="I115" s="88"/>
      <c r="J115" s="88"/>
      <c r="K115" s="88"/>
      <c r="L115" s="88"/>
      <c r="M115" s="88"/>
      <c r="N115" s="88"/>
      <c r="O115" s="106"/>
      <c r="P115" s="106"/>
      <c r="Q115" s="106"/>
      <c r="R115" s="88"/>
      <c r="S115" s="88"/>
      <c r="T115" s="88"/>
      <c r="U115" s="88"/>
      <c r="V115" s="88"/>
      <c r="W115" s="88"/>
      <c r="X115" s="104"/>
      <c r="Y115" s="104"/>
      <c r="Z115" s="105"/>
      <c r="AA115" s="34" t="s">
        <v>42</v>
      </c>
      <c r="AB115" s="17">
        <f t="shared" si="9"/>
        <v>0</v>
      </c>
      <c r="AC115" s="29">
        <v>84</v>
      </c>
      <c r="AD115" s="2">
        <f t="shared" si="7"/>
        <v>7</v>
      </c>
      <c r="AE115" s="2">
        <f t="shared" si="8"/>
        <v>0</v>
      </c>
      <c r="AG115" s="35"/>
    </row>
    <row r="116" spans="1:33" x14ac:dyDescent="0.35">
      <c r="A116" s="158">
        <v>18</v>
      </c>
      <c r="B116" s="134" t="s">
        <v>40</v>
      </c>
      <c r="C116" s="209" t="s">
        <v>41</v>
      </c>
      <c r="D116" s="170">
        <v>18</v>
      </c>
      <c r="E116" s="288"/>
      <c r="F116" s="88"/>
      <c r="G116" s="88"/>
      <c r="H116" s="88"/>
      <c r="I116" s="88"/>
      <c r="J116" s="88"/>
      <c r="K116" s="88"/>
      <c r="L116" s="88"/>
      <c r="M116" s="88"/>
      <c r="N116" s="88"/>
      <c r="O116" s="106"/>
      <c r="P116" s="106"/>
      <c r="Q116" s="106"/>
      <c r="R116" s="88"/>
      <c r="S116" s="88"/>
      <c r="T116" s="88"/>
      <c r="U116" s="88"/>
      <c r="V116" s="88"/>
      <c r="W116" s="88"/>
      <c r="X116" s="104"/>
      <c r="Y116" s="104"/>
      <c r="Z116" s="105"/>
      <c r="AA116" s="34" t="s">
        <v>42</v>
      </c>
      <c r="AB116" s="17">
        <f t="shared" si="9"/>
        <v>0</v>
      </c>
      <c r="AC116" s="29">
        <v>84</v>
      </c>
      <c r="AD116" s="2">
        <f t="shared" si="7"/>
        <v>7</v>
      </c>
      <c r="AE116" s="2">
        <f t="shared" si="8"/>
        <v>0</v>
      </c>
      <c r="AG116" s="35"/>
    </row>
    <row r="117" spans="1:33" x14ac:dyDescent="0.35">
      <c r="A117" s="161">
        <v>18</v>
      </c>
      <c r="B117" s="135" t="s">
        <v>418</v>
      </c>
      <c r="C117" s="210" t="s">
        <v>419</v>
      </c>
      <c r="D117" s="175">
        <v>18</v>
      </c>
      <c r="E117" s="288"/>
      <c r="F117" s="88"/>
      <c r="G117" s="88"/>
      <c r="H117" s="88"/>
      <c r="I117" s="88"/>
      <c r="J117" s="88"/>
      <c r="K117" s="88"/>
      <c r="L117" s="88"/>
      <c r="M117" s="88"/>
      <c r="N117" s="88"/>
      <c r="O117" s="106"/>
      <c r="P117" s="106"/>
      <c r="Q117" s="106"/>
      <c r="R117" s="88"/>
      <c r="S117" s="88"/>
      <c r="T117" s="88"/>
      <c r="U117" s="88"/>
      <c r="V117" s="88"/>
      <c r="W117" s="88"/>
      <c r="X117" s="106"/>
      <c r="Y117" s="106"/>
      <c r="Z117" s="107"/>
      <c r="AA117" s="34" t="s">
        <v>42</v>
      </c>
      <c r="AB117" s="17">
        <f t="shared" si="9"/>
        <v>0</v>
      </c>
      <c r="AC117" s="29">
        <v>84</v>
      </c>
      <c r="AD117" s="2">
        <f t="shared" si="7"/>
        <v>7</v>
      </c>
      <c r="AE117" s="2">
        <f t="shared" si="8"/>
        <v>0</v>
      </c>
      <c r="AG117" s="35"/>
    </row>
    <row r="118" spans="1:33" ht="15" thickBot="1" x14ac:dyDescent="0.4">
      <c r="A118" s="162">
        <v>18</v>
      </c>
      <c r="B118" s="137" t="s">
        <v>53</v>
      </c>
      <c r="C118" s="229" t="s">
        <v>55</v>
      </c>
      <c r="D118" s="176">
        <v>18</v>
      </c>
      <c r="E118" s="289"/>
      <c r="F118" s="91"/>
      <c r="G118" s="91"/>
      <c r="H118" s="91"/>
      <c r="I118" s="91"/>
      <c r="J118" s="91"/>
      <c r="K118" s="91"/>
      <c r="L118" s="91"/>
      <c r="M118" s="91"/>
      <c r="N118" s="91"/>
      <c r="O118" s="108"/>
      <c r="P118" s="108"/>
      <c r="Q118" s="108"/>
      <c r="R118" s="91"/>
      <c r="S118" s="91"/>
      <c r="T118" s="91"/>
      <c r="U118" s="91"/>
      <c r="V118" s="91"/>
      <c r="W118" s="91"/>
      <c r="X118" s="112"/>
      <c r="Y118" s="112"/>
      <c r="Z118" s="113"/>
      <c r="AA118" s="34" t="s">
        <v>53</v>
      </c>
      <c r="AB118" s="17">
        <f t="shared" si="9"/>
        <v>0</v>
      </c>
      <c r="AC118" s="29">
        <v>84</v>
      </c>
      <c r="AD118" s="2">
        <f t="shared" si="7"/>
        <v>7</v>
      </c>
      <c r="AE118" s="2">
        <f t="shared" si="8"/>
        <v>0</v>
      </c>
      <c r="AG118" s="35"/>
    </row>
    <row r="119" spans="1:33" x14ac:dyDescent="0.35">
      <c r="A119" s="158">
        <v>19</v>
      </c>
      <c r="B119" s="148" t="s">
        <v>40</v>
      </c>
      <c r="C119" s="208" t="s">
        <v>41</v>
      </c>
      <c r="D119" s="190">
        <v>18</v>
      </c>
      <c r="E119" s="293"/>
      <c r="F119" s="88"/>
      <c r="G119" s="88"/>
      <c r="H119" s="88"/>
      <c r="I119" s="88"/>
      <c r="J119" s="88"/>
      <c r="K119" s="88"/>
      <c r="L119" s="88"/>
      <c r="M119" s="88"/>
      <c r="N119" s="88"/>
      <c r="O119" s="106"/>
      <c r="P119" s="106"/>
      <c r="Q119" s="106"/>
      <c r="R119" s="88"/>
      <c r="S119" s="88"/>
      <c r="T119" s="88"/>
      <c r="U119" s="88"/>
      <c r="V119" s="88"/>
      <c r="W119" s="88"/>
      <c r="X119" s="104"/>
      <c r="Y119" s="104"/>
      <c r="Z119" s="105"/>
      <c r="AA119" s="34" t="s">
        <v>42</v>
      </c>
      <c r="AB119" s="17">
        <f t="shared" si="9"/>
        <v>0</v>
      </c>
      <c r="AC119" s="29">
        <v>84</v>
      </c>
      <c r="AD119" s="2">
        <f t="shared" si="7"/>
        <v>7</v>
      </c>
      <c r="AE119" s="2">
        <f t="shared" si="8"/>
        <v>0</v>
      </c>
      <c r="AG119" s="35"/>
    </row>
    <row r="120" spans="1:33" x14ac:dyDescent="0.35">
      <c r="A120" s="158">
        <v>19</v>
      </c>
      <c r="B120" s="148" t="s">
        <v>53</v>
      </c>
      <c r="C120" s="209" t="s">
        <v>54</v>
      </c>
      <c r="D120" s="170">
        <v>18</v>
      </c>
      <c r="E120" s="294"/>
      <c r="F120" s="89"/>
      <c r="G120" s="89"/>
      <c r="H120" s="89"/>
      <c r="I120" s="89"/>
      <c r="J120" s="89"/>
      <c r="K120" s="89"/>
      <c r="L120" s="89"/>
      <c r="M120" s="89"/>
      <c r="N120" s="89"/>
      <c r="O120" s="104"/>
      <c r="P120" s="104"/>
      <c r="Q120" s="104"/>
      <c r="R120" s="89"/>
      <c r="S120" s="89"/>
      <c r="T120" s="89"/>
      <c r="U120" s="89"/>
      <c r="V120" s="89"/>
      <c r="W120" s="89"/>
      <c r="X120" s="104"/>
      <c r="Y120" s="104"/>
      <c r="Z120" s="105"/>
      <c r="AA120" s="34" t="s">
        <v>53</v>
      </c>
      <c r="AB120" s="17">
        <f t="shared" si="9"/>
        <v>0</v>
      </c>
      <c r="AC120" s="29">
        <v>96</v>
      </c>
      <c r="AD120" s="2">
        <f t="shared" si="7"/>
        <v>8</v>
      </c>
      <c r="AE120" s="2">
        <f t="shared" si="8"/>
        <v>0</v>
      </c>
      <c r="AG120" s="35"/>
    </row>
    <row r="121" spans="1:33" x14ac:dyDescent="0.35">
      <c r="A121" s="158">
        <v>19</v>
      </c>
      <c r="B121" s="148" t="s">
        <v>397</v>
      </c>
      <c r="C121" s="209" t="s">
        <v>394</v>
      </c>
      <c r="D121" s="170">
        <v>18</v>
      </c>
      <c r="E121" s="294"/>
      <c r="F121" s="89"/>
      <c r="G121" s="89"/>
      <c r="H121" s="89"/>
      <c r="I121" s="89"/>
      <c r="J121" s="89"/>
      <c r="K121" s="89"/>
      <c r="L121" s="89"/>
      <c r="M121" s="89"/>
      <c r="N121" s="89"/>
      <c r="O121" s="104"/>
      <c r="P121" s="104"/>
      <c r="Q121" s="104"/>
      <c r="R121" s="89"/>
      <c r="S121" s="89"/>
      <c r="T121" s="89"/>
      <c r="U121" s="89"/>
      <c r="V121" s="89"/>
      <c r="W121" s="89"/>
      <c r="X121" s="104"/>
      <c r="Y121" s="104"/>
      <c r="Z121" s="105"/>
      <c r="AA121" s="34" t="s">
        <v>53</v>
      </c>
      <c r="AB121" s="17">
        <f t="shared" si="9"/>
        <v>0</v>
      </c>
      <c r="AC121" s="29">
        <v>96</v>
      </c>
      <c r="AD121" s="2">
        <f t="shared" si="7"/>
        <v>8</v>
      </c>
      <c r="AE121" s="2">
        <f t="shared" si="8"/>
        <v>0</v>
      </c>
      <c r="AG121" s="35"/>
    </row>
    <row r="122" spans="1:33" x14ac:dyDescent="0.35">
      <c r="A122" s="158">
        <v>19</v>
      </c>
      <c r="B122" s="148" t="s">
        <v>53</v>
      </c>
      <c r="C122" s="209" t="s">
        <v>335</v>
      </c>
      <c r="D122" s="170">
        <v>18</v>
      </c>
      <c r="E122" s="294"/>
      <c r="F122" s="89"/>
      <c r="G122" s="89"/>
      <c r="H122" s="89"/>
      <c r="I122" s="89"/>
      <c r="J122" s="89"/>
      <c r="K122" s="89"/>
      <c r="L122" s="89"/>
      <c r="M122" s="89"/>
      <c r="N122" s="89"/>
      <c r="O122" s="104"/>
      <c r="P122" s="104"/>
      <c r="Q122" s="104"/>
      <c r="R122" s="89"/>
      <c r="S122" s="89"/>
      <c r="T122" s="89"/>
      <c r="U122" s="89"/>
      <c r="V122" s="89"/>
      <c r="W122" s="89"/>
      <c r="X122" s="104"/>
      <c r="Y122" s="104"/>
      <c r="Z122" s="105"/>
      <c r="AA122" s="34" t="s">
        <v>53</v>
      </c>
      <c r="AB122" s="17">
        <f t="shared" si="9"/>
        <v>0</v>
      </c>
      <c r="AC122" s="29">
        <v>96</v>
      </c>
      <c r="AD122" s="2">
        <f t="shared" si="7"/>
        <v>8</v>
      </c>
      <c r="AE122" s="2">
        <f t="shared" si="8"/>
        <v>0</v>
      </c>
      <c r="AG122" s="35"/>
    </row>
    <row r="123" spans="1:33" x14ac:dyDescent="0.35">
      <c r="A123" s="158">
        <v>19</v>
      </c>
      <c r="B123" s="148" t="s">
        <v>395</v>
      </c>
      <c r="C123" s="209" t="s">
        <v>381</v>
      </c>
      <c r="D123" s="170">
        <v>18</v>
      </c>
      <c r="E123" s="294"/>
      <c r="F123" s="89"/>
      <c r="G123" s="89"/>
      <c r="H123" s="89"/>
      <c r="I123" s="89"/>
      <c r="J123" s="89"/>
      <c r="K123" s="89"/>
      <c r="L123" s="89"/>
      <c r="M123" s="89"/>
      <c r="N123" s="89"/>
      <c r="O123" s="104"/>
      <c r="P123" s="104"/>
      <c r="Q123" s="104"/>
      <c r="R123" s="89"/>
      <c r="S123" s="89"/>
      <c r="T123" s="89"/>
      <c r="U123" s="89"/>
      <c r="V123" s="89"/>
      <c r="W123" s="89"/>
      <c r="X123" s="104"/>
      <c r="Y123" s="104"/>
      <c r="Z123" s="105"/>
      <c r="AA123" s="34" t="s">
        <v>53</v>
      </c>
      <c r="AB123" s="17">
        <f t="shared" si="9"/>
        <v>0</v>
      </c>
      <c r="AC123" s="29">
        <v>96</v>
      </c>
      <c r="AD123" s="2">
        <f t="shared" si="7"/>
        <v>8</v>
      </c>
      <c r="AE123" s="2">
        <f t="shared" si="8"/>
        <v>0</v>
      </c>
      <c r="AG123" s="35"/>
    </row>
    <row r="124" spans="1:33" ht="15" thickBot="1" x14ac:dyDescent="0.4">
      <c r="A124" s="162">
        <v>19</v>
      </c>
      <c r="B124" s="147" t="s">
        <v>107</v>
      </c>
      <c r="C124" s="225" t="s">
        <v>55</v>
      </c>
      <c r="D124" s="188">
        <v>18</v>
      </c>
      <c r="E124" s="297"/>
      <c r="F124" s="92"/>
      <c r="G124" s="92"/>
      <c r="H124" s="92"/>
      <c r="I124" s="92"/>
      <c r="J124" s="92"/>
      <c r="K124" s="92"/>
      <c r="L124" s="92"/>
      <c r="M124" s="92"/>
      <c r="N124" s="92"/>
      <c r="O124" s="112"/>
      <c r="P124" s="112"/>
      <c r="Q124" s="112"/>
      <c r="R124" s="92"/>
      <c r="S124" s="92"/>
      <c r="T124" s="92"/>
      <c r="U124" s="92"/>
      <c r="V124" s="92"/>
      <c r="W124" s="92"/>
      <c r="X124" s="112"/>
      <c r="Y124" s="112"/>
      <c r="Z124" s="113"/>
      <c r="AA124" s="34" t="s">
        <v>53</v>
      </c>
      <c r="AB124" s="17">
        <f t="shared" si="9"/>
        <v>0</v>
      </c>
      <c r="AC124" s="29">
        <v>96</v>
      </c>
      <c r="AD124" s="2">
        <f t="shared" ref="AD124:AD190" si="12">AC124/12</f>
        <v>8</v>
      </c>
      <c r="AE124" s="2">
        <f t="shared" ref="AE124:AE190" si="13">ROUND(IFERROR(AB124/D124,0),)</f>
        <v>0</v>
      </c>
      <c r="AG124" s="35"/>
    </row>
    <row r="125" spans="1:33" x14ac:dyDescent="0.35">
      <c r="A125" s="157">
        <v>20</v>
      </c>
      <c r="B125" s="136" t="s">
        <v>108</v>
      </c>
      <c r="C125" s="228" t="s">
        <v>109</v>
      </c>
      <c r="D125" s="169">
        <v>15</v>
      </c>
      <c r="E125" s="287"/>
      <c r="F125" s="87"/>
      <c r="G125" s="87"/>
      <c r="H125" s="87"/>
      <c r="I125" s="87"/>
      <c r="J125" s="87"/>
      <c r="K125" s="87"/>
      <c r="L125" s="87"/>
      <c r="M125" s="87"/>
      <c r="N125" s="87"/>
      <c r="O125" s="102"/>
      <c r="P125" s="102"/>
      <c r="Q125" s="102"/>
      <c r="R125" s="87"/>
      <c r="S125" s="87"/>
      <c r="T125" s="87"/>
      <c r="U125" s="87"/>
      <c r="V125" s="87"/>
      <c r="W125" s="87"/>
      <c r="X125" s="102"/>
      <c r="Y125" s="102"/>
      <c r="Z125" s="103"/>
      <c r="AA125" s="37" t="s">
        <v>159</v>
      </c>
      <c r="AB125" s="17">
        <f t="shared" si="9"/>
        <v>0</v>
      </c>
      <c r="AC125" s="29">
        <v>96</v>
      </c>
      <c r="AD125" s="2">
        <f t="shared" si="12"/>
        <v>8</v>
      </c>
      <c r="AE125" s="2">
        <f t="shared" si="13"/>
        <v>0</v>
      </c>
      <c r="AG125" s="35"/>
    </row>
    <row r="126" spans="1:33" x14ac:dyDescent="0.35">
      <c r="A126" s="161">
        <v>20</v>
      </c>
      <c r="B126" s="148" t="s">
        <v>53</v>
      </c>
      <c r="C126" s="209" t="s">
        <v>54</v>
      </c>
      <c r="D126" s="170">
        <v>18</v>
      </c>
      <c r="E126" s="290"/>
      <c r="F126" s="89"/>
      <c r="G126" s="89"/>
      <c r="H126" s="89"/>
      <c r="I126" s="89"/>
      <c r="J126" s="89"/>
      <c r="K126" s="89"/>
      <c r="L126" s="89"/>
      <c r="M126" s="89"/>
      <c r="N126" s="89"/>
      <c r="O126" s="104"/>
      <c r="P126" s="104"/>
      <c r="Q126" s="104"/>
      <c r="R126" s="89"/>
      <c r="S126" s="89"/>
      <c r="T126" s="89"/>
      <c r="U126" s="89"/>
      <c r="V126" s="89"/>
      <c r="W126" s="89"/>
      <c r="X126" s="104"/>
      <c r="Y126" s="104"/>
      <c r="Z126" s="105"/>
      <c r="AA126" s="34" t="s">
        <v>53</v>
      </c>
      <c r="AB126" s="17">
        <f t="shared" si="9"/>
        <v>0</v>
      </c>
      <c r="AC126" s="29">
        <v>96</v>
      </c>
      <c r="AD126" s="2">
        <f t="shared" si="12"/>
        <v>8</v>
      </c>
      <c r="AE126" s="2">
        <f t="shared" si="13"/>
        <v>0</v>
      </c>
      <c r="AG126" s="35"/>
    </row>
    <row r="127" spans="1:33" x14ac:dyDescent="0.35">
      <c r="A127" s="158">
        <v>20</v>
      </c>
      <c r="B127" s="148" t="s">
        <v>53</v>
      </c>
      <c r="C127" s="209" t="s">
        <v>335</v>
      </c>
      <c r="D127" s="170">
        <v>18</v>
      </c>
      <c r="E127" s="290"/>
      <c r="F127" s="89"/>
      <c r="G127" s="89"/>
      <c r="H127" s="89"/>
      <c r="I127" s="89"/>
      <c r="J127" s="89"/>
      <c r="K127" s="89"/>
      <c r="L127" s="89"/>
      <c r="M127" s="89"/>
      <c r="N127" s="89"/>
      <c r="O127" s="104"/>
      <c r="P127" s="104"/>
      <c r="Q127" s="104"/>
      <c r="R127" s="89"/>
      <c r="S127" s="89"/>
      <c r="T127" s="89"/>
      <c r="U127" s="89"/>
      <c r="V127" s="89"/>
      <c r="W127" s="89"/>
      <c r="X127" s="104"/>
      <c r="Y127" s="104"/>
      <c r="Z127" s="105"/>
      <c r="AA127" s="34" t="s">
        <v>53</v>
      </c>
      <c r="AB127" s="17">
        <f t="shared" si="9"/>
        <v>0</v>
      </c>
      <c r="AC127" s="29">
        <v>96</v>
      </c>
      <c r="AD127" s="2">
        <f>AC127/12</f>
        <v>8</v>
      </c>
      <c r="AE127" s="2">
        <f>ROUND(IFERROR(AB127/D127,0),)</f>
        <v>0</v>
      </c>
      <c r="AG127" s="35"/>
    </row>
    <row r="128" spans="1:33" x14ac:dyDescent="0.35">
      <c r="A128" s="159">
        <v>20</v>
      </c>
      <c r="B128" s="148" t="s">
        <v>395</v>
      </c>
      <c r="C128" s="209" t="s">
        <v>381</v>
      </c>
      <c r="D128" s="170">
        <v>18</v>
      </c>
      <c r="E128" s="290"/>
      <c r="F128" s="89"/>
      <c r="G128" s="89"/>
      <c r="H128" s="89"/>
      <c r="I128" s="89"/>
      <c r="J128" s="89"/>
      <c r="K128" s="89"/>
      <c r="L128" s="89"/>
      <c r="M128" s="89"/>
      <c r="N128" s="89"/>
      <c r="O128" s="104"/>
      <c r="P128" s="104"/>
      <c r="Q128" s="104"/>
      <c r="R128" s="89"/>
      <c r="S128" s="89"/>
      <c r="T128" s="89"/>
      <c r="U128" s="89"/>
      <c r="V128" s="89"/>
      <c r="W128" s="89"/>
      <c r="X128" s="104"/>
      <c r="Y128" s="104"/>
      <c r="Z128" s="105"/>
      <c r="AA128" s="34" t="s">
        <v>53</v>
      </c>
      <c r="AB128" s="17">
        <f t="shared" si="9"/>
        <v>0</v>
      </c>
      <c r="AC128" s="29">
        <v>96</v>
      </c>
      <c r="AD128" s="2">
        <f t="shared" si="12"/>
        <v>8</v>
      </c>
      <c r="AE128" s="2">
        <f t="shared" si="13"/>
        <v>0</v>
      </c>
      <c r="AG128" s="35"/>
    </row>
    <row r="129" spans="1:34" x14ac:dyDescent="0.35">
      <c r="A129" s="159">
        <v>20</v>
      </c>
      <c r="B129" s="148" t="s">
        <v>397</v>
      </c>
      <c r="C129" s="209" t="s">
        <v>394</v>
      </c>
      <c r="D129" s="170">
        <v>18</v>
      </c>
      <c r="E129" s="290"/>
      <c r="F129" s="89"/>
      <c r="G129" s="89"/>
      <c r="H129" s="89"/>
      <c r="I129" s="89"/>
      <c r="J129" s="89"/>
      <c r="K129" s="89"/>
      <c r="L129" s="89"/>
      <c r="M129" s="89"/>
      <c r="N129" s="89"/>
      <c r="O129" s="104"/>
      <c r="P129" s="104"/>
      <c r="Q129" s="104"/>
      <c r="R129" s="89"/>
      <c r="S129" s="89"/>
      <c r="T129" s="89"/>
      <c r="U129" s="89"/>
      <c r="V129" s="89"/>
      <c r="W129" s="89"/>
      <c r="X129" s="104"/>
      <c r="Y129" s="104"/>
      <c r="Z129" s="105"/>
      <c r="AA129" s="34" t="s">
        <v>53</v>
      </c>
      <c r="AB129" s="17">
        <f t="shared" si="9"/>
        <v>0</v>
      </c>
      <c r="AC129" s="29">
        <v>96</v>
      </c>
      <c r="AD129" s="2">
        <f t="shared" si="12"/>
        <v>8</v>
      </c>
      <c r="AE129" s="2">
        <f t="shared" si="13"/>
        <v>0</v>
      </c>
      <c r="AG129" s="35"/>
    </row>
    <row r="130" spans="1:34" ht="15" thickBot="1" x14ac:dyDescent="0.4">
      <c r="A130" s="162">
        <v>20</v>
      </c>
      <c r="B130" s="147" t="s">
        <v>53</v>
      </c>
      <c r="C130" s="225" t="s">
        <v>55</v>
      </c>
      <c r="D130" s="188">
        <v>18</v>
      </c>
      <c r="E130" s="291"/>
      <c r="F130" s="92"/>
      <c r="G130" s="92"/>
      <c r="H130" s="92"/>
      <c r="I130" s="92"/>
      <c r="J130" s="92"/>
      <c r="K130" s="92"/>
      <c r="L130" s="92"/>
      <c r="M130" s="92"/>
      <c r="N130" s="92"/>
      <c r="O130" s="112"/>
      <c r="P130" s="112"/>
      <c r="Q130" s="112"/>
      <c r="R130" s="92"/>
      <c r="S130" s="92"/>
      <c r="T130" s="92"/>
      <c r="U130" s="92"/>
      <c r="V130" s="92"/>
      <c r="W130" s="92"/>
      <c r="X130" s="112"/>
      <c r="Y130" s="112"/>
      <c r="Z130" s="118"/>
      <c r="AA130" s="34" t="s">
        <v>53</v>
      </c>
      <c r="AB130" s="17">
        <f t="shared" ref="AB130:AB195" si="14">SUM(F130:Z130)</f>
        <v>0</v>
      </c>
      <c r="AC130" s="29">
        <v>96</v>
      </c>
      <c r="AD130" s="2">
        <f t="shared" si="12"/>
        <v>8</v>
      </c>
      <c r="AE130" s="2">
        <f t="shared" si="13"/>
        <v>0</v>
      </c>
      <c r="AG130" s="35"/>
    </row>
    <row r="131" spans="1:34" x14ac:dyDescent="0.35">
      <c r="A131" s="157">
        <v>21</v>
      </c>
      <c r="B131" s="136" t="s">
        <v>90</v>
      </c>
      <c r="C131" s="248" t="s">
        <v>420</v>
      </c>
      <c r="D131" s="169">
        <v>19</v>
      </c>
      <c r="E131" s="287"/>
      <c r="F131" s="87"/>
      <c r="G131" s="87"/>
      <c r="H131" s="87"/>
      <c r="I131" s="87"/>
      <c r="J131" s="87"/>
      <c r="K131" s="87"/>
      <c r="L131" s="87"/>
      <c r="M131" s="87"/>
      <c r="N131" s="87"/>
      <c r="O131" s="102"/>
      <c r="P131" s="102"/>
      <c r="Q131" s="102"/>
      <c r="R131" s="87"/>
      <c r="S131" s="87"/>
      <c r="T131" s="87"/>
      <c r="U131" s="87"/>
      <c r="V131" s="87"/>
      <c r="W131" s="87"/>
      <c r="X131" s="102"/>
      <c r="Y131" s="102"/>
      <c r="Z131" s="103"/>
      <c r="AA131" s="34" t="s">
        <v>90</v>
      </c>
      <c r="AB131" s="17">
        <f t="shared" si="14"/>
        <v>0</v>
      </c>
      <c r="AC131" s="29">
        <v>48</v>
      </c>
      <c r="AD131" s="2">
        <f t="shared" si="12"/>
        <v>4</v>
      </c>
      <c r="AE131" s="2">
        <f t="shared" si="13"/>
        <v>0</v>
      </c>
      <c r="AF131" s="125" t="s">
        <v>501</v>
      </c>
      <c r="AG131" s="35"/>
      <c r="AH131" s="38"/>
    </row>
    <row r="132" spans="1:34" x14ac:dyDescent="0.35">
      <c r="A132" s="159">
        <v>21</v>
      </c>
      <c r="B132" s="135" t="s">
        <v>110</v>
      </c>
      <c r="C132" s="210" t="s">
        <v>111</v>
      </c>
      <c r="D132" s="175">
        <v>16</v>
      </c>
      <c r="E132" s="290"/>
      <c r="F132" s="88"/>
      <c r="G132" s="88"/>
      <c r="H132" s="88"/>
      <c r="I132" s="88"/>
      <c r="J132" s="88"/>
      <c r="K132" s="88"/>
      <c r="L132" s="88"/>
      <c r="M132" s="88"/>
      <c r="N132" s="88"/>
      <c r="O132" s="106"/>
      <c r="P132" s="106"/>
      <c r="Q132" s="106"/>
      <c r="R132" s="88"/>
      <c r="S132" s="88"/>
      <c r="T132" s="88"/>
      <c r="U132" s="88"/>
      <c r="V132" s="88"/>
      <c r="W132" s="88"/>
      <c r="X132" s="106"/>
      <c r="Y132" s="106"/>
      <c r="Z132" s="107"/>
      <c r="AA132" s="34" t="s">
        <v>112</v>
      </c>
      <c r="AB132" s="17">
        <f t="shared" si="14"/>
        <v>0</v>
      </c>
      <c r="AC132" s="29">
        <v>84</v>
      </c>
      <c r="AD132" s="2">
        <f t="shared" si="12"/>
        <v>7</v>
      </c>
      <c r="AE132" s="2">
        <f t="shared" si="13"/>
        <v>0</v>
      </c>
      <c r="AG132" s="35"/>
    </row>
    <row r="133" spans="1:34" x14ac:dyDescent="0.35">
      <c r="A133" s="159">
        <v>21</v>
      </c>
      <c r="B133" s="146" t="s">
        <v>113</v>
      </c>
      <c r="C133" s="224" t="s">
        <v>114</v>
      </c>
      <c r="D133" s="187">
        <v>16</v>
      </c>
      <c r="E133" s="290"/>
      <c r="F133" s="88"/>
      <c r="G133" s="88"/>
      <c r="H133" s="88"/>
      <c r="I133" s="88"/>
      <c r="J133" s="88"/>
      <c r="K133" s="88"/>
      <c r="L133" s="88"/>
      <c r="M133" s="88"/>
      <c r="N133" s="88"/>
      <c r="O133" s="263"/>
      <c r="P133" s="106"/>
      <c r="Q133" s="106"/>
      <c r="R133" s="88"/>
      <c r="S133" s="88"/>
      <c r="T133" s="88"/>
      <c r="U133" s="88"/>
      <c r="V133" s="88"/>
      <c r="W133" s="88"/>
      <c r="X133" s="106"/>
      <c r="Y133" s="106"/>
      <c r="Z133" s="107"/>
      <c r="AA133" s="34" t="s">
        <v>112</v>
      </c>
      <c r="AB133" s="17">
        <f t="shared" si="14"/>
        <v>0</v>
      </c>
      <c r="AC133" s="29">
        <v>84</v>
      </c>
      <c r="AD133" s="2">
        <f t="shared" si="12"/>
        <v>7</v>
      </c>
      <c r="AE133" s="2">
        <f t="shared" si="13"/>
        <v>0</v>
      </c>
      <c r="AG133" s="35"/>
    </row>
    <row r="134" spans="1:34" x14ac:dyDescent="0.35">
      <c r="A134" s="159">
        <v>21</v>
      </c>
      <c r="B134" s="132" t="s">
        <v>115</v>
      </c>
      <c r="C134" s="207" t="s">
        <v>116</v>
      </c>
      <c r="D134" s="171">
        <v>15</v>
      </c>
      <c r="E134" s="290"/>
      <c r="F134" s="88"/>
      <c r="G134" s="88"/>
      <c r="H134" s="88"/>
      <c r="I134" s="88"/>
      <c r="J134" s="88"/>
      <c r="K134" s="88"/>
      <c r="L134" s="88"/>
      <c r="M134" s="88"/>
      <c r="N134" s="88"/>
      <c r="O134" s="106"/>
      <c r="P134" s="106"/>
      <c r="Q134" s="106"/>
      <c r="R134" s="88"/>
      <c r="S134" s="88"/>
      <c r="T134" s="88"/>
      <c r="U134" s="88"/>
      <c r="V134" s="88"/>
      <c r="W134" s="88"/>
      <c r="X134" s="106"/>
      <c r="Y134" s="106"/>
      <c r="Z134" s="119"/>
      <c r="AA134" s="34" t="s">
        <v>221</v>
      </c>
      <c r="AB134" s="17">
        <f t="shared" si="14"/>
        <v>0</v>
      </c>
      <c r="AC134" s="29">
        <v>84</v>
      </c>
      <c r="AD134" s="2">
        <f t="shared" si="12"/>
        <v>7</v>
      </c>
      <c r="AE134" s="2">
        <f t="shared" si="13"/>
        <v>0</v>
      </c>
      <c r="AG134" s="35"/>
    </row>
    <row r="135" spans="1:34" x14ac:dyDescent="0.35">
      <c r="A135" s="159">
        <v>21</v>
      </c>
      <c r="B135" s="132" t="s">
        <v>117</v>
      </c>
      <c r="C135" s="207" t="s">
        <v>118</v>
      </c>
      <c r="D135" s="171"/>
      <c r="E135" s="290"/>
      <c r="F135" s="88"/>
      <c r="G135" s="88"/>
      <c r="H135" s="88"/>
      <c r="I135" s="88"/>
      <c r="J135" s="88"/>
      <c r="K135" s="88"/>
      <c r="L135" s="88"/>
      <c r="M135" s="88"/>
      <c r="N135" s="88"/>
      <c r="O135" s="106"/>
      <c r="P135" s="106"/>
      <c r="Q135" s="106"/>
      <c r="R135" s="88"/>
      <c r="S135" s="88"/>
      <c r="T135" s="88"/>
      <c r="U135" s="88"/>
      <c r="V135" s="88"/>
      <c r="W135" s="88"/>
      <c r="X135" s="106"/>
      <c r="Y135" s="106"/>
      <c r="Z135" s="107"/>
      <c r="AA135" s="34" t="s">
        <v>75</v>
      </c>
      <c r="AB135" s="17">
        <f t="shared" si="14"/>
        <v>0</v>
      </c>
      <c r="AC135" s="29"/>
      <c r="AD135" s="2">
        <f t="shared" si="12"/>
        <v>0</v>
      </c>
      <c r="AE135" s="2">
        <f t="shared" si="13"/>
        <v>0</v>
      </c>
      <c r="AG135" s="35"/>
    </row>
    <row r="136" spans="1:34" ht="15" thickBot="1" x14ac:dyDescent="0.4">
      <c r="A136" s="162">
        <v>21</v>
      </c>
      <c r="B136" s="137" t="s">
        <v>119</v>
      </c>
      <c r="C136" s="229" t="s">
        <v>301</v>
      </c>
      <c r="D136" s="176">
        <v>12</v>
      </c>
      <c r="E136" s="291"/>
      <c r="F136" s="92"/>
      <c r="G136" s="92"/>
      <c r="H136" s="92"/>
      <c r="I136" s="92"/>
      <c r="J136" s="92"/>
      <c r="K136" s="92"/>
      <c r="L136" s="92"/>
      <c r="M136" s="92"/>
      <c r="N136" s="92"/>
      <c r="O136" s="112"/>
      <c r="P136" s="112"/>
      <c r="Q136" s="112"/>
      <c r="R136" s="92"/>
      <c r="S136" s="92"/>
      <c r="T136" s="92"/>
      <c r="U136" s="92"/>
      <c r="V136" s="92"/>
      <c r="W136" s="92"/>
      <c r="X136" s="112"/>
      <c r="Y136" s="112"/>
      <c r="Z136" s="113"/>
      <c r="AA136" s="34" t="s">
        <v>112</v>
      </c>
      <c r="AB136" s="17">
        <f t="shared" si="14"/>
        <v>0</v>
      </c>
      <c r="AC136" s="29">
        <v>84</v>
      </c>
      <c r="AD136" s="2">
        <f t="shared" si="12"/>
        <v>7</v>
      </c>
      <c r="AE136" s="2">
        <f t="shared" si="13"/>
        <v>0</v>
      </c>
      <c r="AG136" s="35"/>
    </row>
    <row r="137" spans="1:34" x14ac:dyDescent="0.35">
      <c r="A137" s="157">
        <v>22</v>
      </c>
      <c r="B137" s="153" t="s">
        <v>120</v>
      </c>
      <c r="C137" s="234" t="s">
        <v>121</v>
      </c>
      <c r="D137" s="195">
        <v>17</v>
      </c>
      <c r="E137" s="293"/>
      <c r="F137" s="87"/>
      <c r="G137" s="87"/>
      <c r="H137" s="87"/>
      <c r="I137" s="87"/>
      <c r="J137" s="87"/>
      <c r="K137" s="87"/>
      <c r="L137" s="87"/>
      <c r="M137" s="87"/>
      <c r="N137" s="87"/>
      <c r="O137" s="102"/>
      <c r="P137" s="102"/>
      <c r="Q137" s="102"/>
      <c r="R137" s="87"/>
      <c r="S137" s="87"/>
      <c r="T137" s="87"/>
      <c r="U137" s="87"/>
      <c r="V137" s="87"/>
      <c r="W137" s="87"/>
      <c r="X137" s="102"/>
      <c r="Y137" s="102"/>
      <c r="Z137" s="103"/>
      <c r="AA137" s="34" t="s">
        <v>122</v>
      </c>
      <c r="AB137" s="17">
        <f t="shared" si="14"/>
        <v>0</v>
      </c>
      <c r="AC137" s="29">
        <v>60</v>
      </c>
      <c r="AD137" s="2">
        <f t="shared" si="12"/>
        <v>5</v>
      </c>
      <c r="AE137" s="2">
        <f t="shared" si="13"/>
        <v>0</v>
      </c>
      <c r="AG137" s="35"/>
    </row>
    <row r="138" spans="1:34" x14ac:dyDescent="0.35">
      <c r="A138" s="159">
        <v>22</v>
      </c>
      <c r="B138" s="143" t="s">
        <v>123</v>
      </c>
      <c r="C138" s="226" t="s">
        <v>124</v>
      </c>
      <c r="D138" s="184">
        <v>17</v>
      </c>
      <c r="E138" s="294"/>
      <c r="F138" s="88"/>
      <c r="G138" s="88"/>
      <c r="H138" s="88"/>
      <c r="I138" s="88"/>
      <c r="J138" s="88"/>
      <c r="K138" s="88"/>
      <c r="L138" s="88"/>
      <c r="M138" s="88"/>
      <c r="N138" s="88"/>
      <c r="O138" s="106"/>
      <c r="P138" s="106"/>
      <c r="Q138" s="106"/>
      <c r="R138" s="88"/>
      <c r="S138" s="88"/>
      <c r="T138" s="88"/>
      <c r="U138" s="88"/>
      <c r="V138" s="88"/>
      <c r="W138" s="88"/>
      <c r="X138" s="106"/>
      <c r="Y138" s="106"/>
      <c r="Z138" s="107"/>
      <c r="AA138" s="34" t="s">
        <v>122</v>
      </c>
      <c r="AB138" s="17">
        <f t="shared" si="14"/>
        <v>0</v>
      </c>
      <c r="AC138" s="29">
        <v>60</v>
      </c>
      <c r="AD138" s="2">
        <f t="shared" si="12"/>
        <v>5</v>
      </c>
      <c r="AE138" s="2">
        <f t="shared" si="13"/>
        <v>0</v>
      </c>
      <c r="AG138" s="35"/>
    </row>
    <row r="139" spans="1:34" x14ac:dyDescent="0.35">
      <c r="A139" s="159">
        <v>22</v>
      </c>
      <c r="B139" s="143" t="s">
        <v>125</v>
      </c>
      <c r="C139" s="226" t="s">
        <v>126</v>
      </c>
      <c r="D139" s="184">
        <v>17</v>
      </c>
      <c r="E139" s="294"/>
      <c r="F139" s="88"/>
      <c r="G139" s="88"/>
      <c r="H139" s="88"/>
      <c r="I139" s="88"/>
      <c r="J139" s="88"/>
      <c r="K139" s="88"/>
      <c r="L139" s="88"/>
      <c r="M139" s="88"/>
      <c r="N139" s="88"/>
      <c r="O139" s="106"/>
      <c r="P139" s="106"/>
      <c r="Q139" s="106"/>
      <c r="R139" s="88"/>
      <c r="S139" s="88"/>
      <c r="T139" s="88"/>
      <c r="U139" s="88"/>
      <c r="V139" s="88"/>
      <c r="W139" s="88"/>
      <c r="X139" s="106"/>
      <c r="Y139" s="106"/>
      <c r="Z139" s="107"/>
      <c r="AA139" s="34" t="s">
        <v>122</v>
      </c>
      <c r="AB139" s="17">
        <f t="shared" si="14"/>
        <v>0</v>
      </c>
      <c r="AC139" s="29">
        <v>60</v>
      </c>
      <c r="AD139" s="2">
        <f t="shared" si="12"/>
        <v>5</v>
      </c>
      <c r="AE139" s="2">
        <f t="shared" si="13"/>
        <v>0</v>
      </c>
      <c r="AG139" s="35"/>
    </row>
    <row r="140" spans="1:34" x14ac:dyDescent="0.35">
      <c r="A140" s="159">
        <v>22</v>
      </c>
      <c r="B140" s="143" t="s">
        <v>122</v>
      </c>
      <c r="C140" s="226" t="s">
        <v>127</v>
      </c>
      <c r="D140" s="184">
        <v>17</v>
      </c>
      <c r="E140" s="294"/>
      <c r="F140" s="88"/>
      <c r="G140" s="88"/>
      <c r="H140" s="88"/>
      <c r="I140" s="88"/>
      <c r="J140" s="88"/>
      <c r="K140" s="88"/>
      <c r="L140" s="88"/>
      <c r="M140" s="88"/>
      <c r="N140" s="88"/>
      <c r="O140" s="106"/>
      <c r="P140" s="106"/>
      <c r="Q140" s="106"/>
      <c r="R140" s="88"/>
      <c r="S140" s="88"/>
      <c r="T140" s="88"/>
      <c r="U140" s="88"/>
      <c r="V140" s="88"/>
      <c r="W140" s="88"/>
      <c r="X140" s="106"/>
      <c r="Y140" s="106"/>
      <c r="Z140" s="107"/>
      <c r="AA140" s="34" t="s">
        <v>122</v>
      </c>
      <c r="AB140" s="17">
        <f t="shared" si="14"/>
        <v>0</v>
      </c>
      <c r="AC140" s="29">
        <v>60</v>
      </c>
      <c r="AD140" s="2">
        <f t="shared" si="12"/>
        <v>5</v>
      </c>
      <c r="AE140" s="2">
        <f t="shared" si="13"/>
        <v>0</v>
      </c>
      <c r="AG140" s="35"/>
    </row>
    <row r="141" spans="1:34" ht="15" thickBot="1" x14ac:dyDescent="0.4">
      <c r="A141" s="162">
        <v>22</v>
      </c>
      <c r="B141" s="138" t="s">
        <v>123</v>
      </c>
      <c r="C141" s="126" t="s">
        <v>124</v>
      </c>
      <c r="D141" s="177">
        <v>17</v>
      </c>
      <c r="E141" s="297"/>
      <c r="F141" s="92"/>
      <c r="G141" s="92"/>
      <c r="H141" s="92"/>
      <c r="I141" s="92"/>
      <c r="J141" s="92"/>
      <c r="K141" s="92"/>
      <c r="L141" s="92"/>
      <c r="M141" s="92"/>
      <c r="N141" s="92"/>
      <c r="O141" s="112"/>
      <c r="P141" s="112"/>
      <c r="Q141" s="112"/>
      <c r="R141" s="92"/>
      <c r="S141" s="92"/>
      <c r="T141" s="92"/>
      <c r="U141" s="92"/>
      <c r="V141" s="92"/>
      <c r="W141" s="92"/>
      <c r="X141" s="112"/>
      <c r="Y141" s="112"/>
      <c r="Z141" s="113"/>
      <c r="AA141" s="34" t="s">
        <v>122</v>
      </c>
      <c r="AB141" s="17">
        <f t="shared" si="14"/>
        <v>0</v>
      </c>
      <c r="AC141" s="29">
        <v>60</v>
      </c>
      <c r="AD141" s="2">
        <f t="shared" si="12"/>
        <v>5</v>
      </c>
      <c r="AE141" s="2">
        <f t="shared" si="13"/>
        <v>0</v>
      </c>
      <c r="AG141" s="35"/>
    </row>
    <row r="142" spans="1:34" x14ac:dyDescent="0.35">
      <c r="A142" s="157">
        <v>23</v>
      </c>
      <c r="B142" s="153" t="s">
        <v>528</v>
      </c>
      <c r="C142" s="234" t="s">
        <v>309</v>
      </c>
      <c r="D142" s="195">
        <v>13</v>
      </c>
      <c r="E142" s="293"/>
      <c r="F142" s="269">
        <v>20</v>
      </c>
      <c r="G142" s="87"/>
      <c r="H142" s="87"/>
      <c r="I142" s="87">
        <v>98</v>
      </c>
      <c r="J142" s="87"/>
      <c r="K142" s="87"/>
      <c r="L142" s="87">
        <v>98</v>
      </c>
      <c r="M142" s="87"/>
      <c r="N142" s="87"/>
      <c r="O142" s="102"/>
      <c r="P142" s="102"/>
      <c r="Q142" s="102"/>
      <c r="R142" s="87"/>
      <c r="S142" s="87"/>
      <c r="T142" s="87"/>
      <c r="U142" s="87"/>
      <c r="V142" s="87"/>
      <c r="W142" s="87"/>
      <c r="X142" s="102"/>
      <c r="Y142" s="102"/>
      <c r="Z142" s="103"/>
      <c r="AA142" s="34" t="s">
        <v>291</v>
      </c>
      <c r="AB142" s="17">
        <f t="shared" si="14"/>
        <v>216</v>
      </c>
      <c r="AC142" s="29">
        <v>60</v>
      </c>
      <c r="AD142" s="2">
        <f t="shared" si="12"/>
        <v>5</v>
      </c>
      <c r="AE142" s="2">
        <f t="shared" si="13"/>
        <v>17</v>
      </c>
      <c r="AG142" s="35"/>
    </row>
    <row r="143" spans="1:34" x14ac:dyDescent="0.35">
      <c r="A143" s="159">
        <v>23</v>
      </c>
      <c r="B143" s="143" t="s">
        <v>528</v>
      </c>
      <c r="C143" s="226" t="s">
        <v>426</v>
      </c>
      <c r="D143" s="196">
        <v>13</v>
      </c>
      <c r="E143" s="294"/>
      <c r="F143" s="89"/>
      <c r="G143" s="89"/>
      <c r="H143" s="89"/>
      <c r="I143" s="89"/>
      <c r="J143" s="89"/>
      <c r="K143" s="89"/>
      <c r="L143" s="89"/>
      <c r="M143" s="89"/>
      <c r="N143" s="89"/>
      <c r="O143" s="104"/>
      <c r="P143" s="104"/>
      <c r="Q143" s="104"/>
      <c r="R143" s="89"/>
      <c r="S143" s="89"/>
      <c r="T143" s="89"/>
      <c r="U143" s="89"/>
      <c r="V143" s="89"/>
      <c r="W143" s="89"/>
      <c r="X143" s="106"/>
      <c r="Y143" s="106"/>
      <c r="Z143" s="107"/>
      <c r="AA143" s="34" t="s">
        <v>291</v>
      </c>
      <c r="AB143" s="17">
        <f t="shared" si="14"/>
        <v>0</v>
      </c>
      <c r="AC143" s="29">
        <v>60</v>
      </c>
      <c r="AD143" s="2">
        <f t="shared" si="12"/>
        <v>5</v>
      </c>
      <c r="AE143" s="2">
        <f t="shared" si="13"/>
        <v>0</v>
      </c>
      <c r="AG143" s="35"/>
    </row>
    <row r="144" spans="1:34" x14ac:dyDescent="0.35">
      <c r="A144" s="159">
        <v>23</v>
      </c>
      <c r="B144" s="143" t="s">
        <v>529</v>
      </c>
      <c r="C144" s="207" t="s">
        <v>425</v>
      </c>
      <c r="D144" s="181">
        <v>13</v>
      </c>
      <c r="E144" s="294"/>
      <c r="F144" s="268">
        <v>20</v>
      </c>
      <c r="G144" s="89"/>
      <c r="H144" s="89"/>
      <c r="I144" s="89"/>
      <c r="J144" s="89"/>
      <c r="K144" s="89"/>
      <c r="L144" s="89"/>
      <c r="M144" s="89"/>
      <c r="N144" s="89"/>
      <c r="O144" s="104"/>
      <c r="P144" s="104"/>
      <c r="Q144" s="104"/>
      <c r="R144" s="89"/>
      <c r="S144" s="89"/>
      <c r="T144" s="89"/>
      <c r="U144" s="89"/>
      <c r="V144" s="89"/>
      <c r="W144" s="89"/>
      <c r="X144" s="106"/>
      <c r="Y144" s="106"/>
      <c r="Z144" s="107"/>
      <c r="AA144" s="34" t="s">
        <v>291</v>
      </c>
      <c r="AB144" s="17">
        <f t="shared" si="14"/>
        <v>20</v>
      </c>
      <c r="AC144" s="29">
        <v>60</v>
      </c>
      <c r="AD144" s="2">
        <f t="shared" si="12"/>
        <v>5</v>
      </c>
      <c r="AE144" s="2">
        <f t="shared" si="13"/>
        <v>2</v>
      </c>
      <c r="AG144" s="35"/>
    </row>
    <row r="145" spans="1:33" ht="15" thickBot="1" x14ac:dyDescent="0.4">
      <c r="A145" s="159">
        <v>23</v>
      </c>
      <c r="B145" s="143" t="s">
        <v>375</v>
      </c>
      <c r="C145" s="226" t="s">
        <v>376</v>
      </c>
      <c r="D145" s="184"/>
      <c r="E145" s="294"/>
      <c r="F145" s="268">
        <v>18</v>
      </c>
      <c r="G145" s="89"/>
      <c r="H145" s="89"/>
      <c r="I145" s="89"/>
      <c r="J145" s="89"/>
      <c r="K145" s="89"/>
      <c r="L145" s="89"/>
      <c r="M145" s="89"/>
      <c r="N145" s="89"/>
      <c r="O145" s="104"/>
      <c r="P145" s="104"/>
      <c r="Q145" s="104"/>
      <c r="R145" s="89"/>
      <c r="S145" s="89"/>
      <c r="T145" s="89"/>
      <c r="U145" s="88"/>
      <c r="V145" s="88"/>
      <c r="W145" s="88"/>
      <c r="X145" s="106"/>
      <c r="Y145" s="106"/>
      <c r="Z145" s="107"/>
      <c r="AA145" s="34" t="s">
        <v>291</v>
      </c>
      <c r="AB145" s="17">
        <f t="shared" si="14"/>
        <v>18</v>
      </c>
      <c r="AC145" s="29"/>
      <c r="AD145" s="2">
        <f t="shared" si="12"/>
        <v>0</v>
      </c>
      <c r="AE145" s="2">
        <f t="shared" si="13"/>
        <v>0</v>
      </c>
      <c r="AG145" s="35"/>
    </row>
    <row r="146" spans="1:33" ht="15" thickBot="1" x14ac:dyDescent="0.4">
      <c r="A146" s="162">
        <v>23</v>
      </c>
      <c r="B146" s="138" t="s">
        <v>85</v>
      </c>
      <c r="C146" s="126" t="s">
        <v>505</v>
      </c>
      <c r="D146" s="177">
        <v>13</v>
      </c>
      <c r="E146" s="295"/>
      <c r="F146" s="92"/>
      <c r="G146" s="92"/>
      <c r="H146" s="92"/>
      <c r="I146" s="92"/>
      <c r="J146" s="92"/>
      <c r="K146" s="92"/>
      <c r="L146" s="92"/>
      <c r="M146" s="92"/>
      <c r="N146" s="92"/>
      <c r="O146" s="112"/>
      <c r="P146" s="112"/>
      <c r="Q146" s="112"/>
      <c r="R146" s="92"/>
      <c r="S146" s="92"/>
      <c r="T146" s="92"/>
      <c r="U146" s="92"/>
      <c r="V146" s="92"/>
      <c r="W146" s="92"/>
      <c r="X146" s="112"/>
      <c r="Y146" s="112"/>
      <c r="Z146" s="113"/>
      <c r="AA146" s="34" t="s">
        <v>85</v>
      </c>
      <c r="AB146" s="17">
        <f t="shared" si="14"/>
        <v>0</v>
      </c>
      <c r="AC146" s="29"/>
      <c r="AD146" s="2">
        <f t="shared" si="12"/>
        <v>0</v>
      </c>
      <c r="AE146" s="2">
        <f t="shared" si="13"/>
        <v>0</v>
      </c>
      <c r="AG146" s="35"/>
    </row>
    <row r="147" spans="1:33" x14ac:dyDescent="0.35">
      <c r="A147" s="157">
        <v>24</v>
      </c>
      <c r="B147" s="131" t="s">
        <v>122</v>
      </c>
      <c r="C147" s="206" t="s">
        <v>121</v>
      </c>
      <c r="D147" s="172">
        <v>16</v>
      </c>
      <c r="E147" s="287"/>
      <c r="F147" s="87"/>
      <c r="G147" s="87"/>
      <c r="H147" s="87"/>
      <c r="I147" s="87"/>
      <c r="J147" s="87"/>
      <c r="K147" s="87"/>
      <c r="L147" s="87"/>
      <c r="M147" s="87"/>
      <c r="N147" s="87"/>
      <c r="O147" s="102"/>
      <c r="P147" s="102"/>
      <c r="Q147" s="102"/>
      <c r="R147" s="87"/>
      <c r="S147" s="87"/>
      <c r="T147" s="87"/>
      <c r="U147" s="87"/>
      <c r="V147" s="87"/>
      <c r="W147" s="87"/>
      <c r="X147" s="102"/>
      <c r="Y147" s="102"/>
      <c r="Z147" s="103"/>
      <c r="AA147" s="34" t="s">
        <v>122</v>
      </c>
      <c r="AB147" s="17">
        <f t="shared" si="14"/>
        <v>0</v>
      </c>
      <c r="AC147" s="29">
        <v>60</v>
      </c>
      <c r="AD147" s="2">
        <f t="shared" si="12"/>
        <v>5</v>
      </c>
      <c r="AE147" s="2">
        <f t="shared" si="13"/>
        <v>0</v>
      </c>
      <c r="AG147" s="35"/>
    </row>
    <row r="148" spans="1:33" x14ac:dyDescent="0.35">
      <c r="A148" s="159">
        <v>24</v>
      </c>
      <c r="B148" s="132" t="s">
        <v>122</v>
      </c>
      <c r="C148" s="207" t="s">
        <v>127</v>
      </c>
      <c r="D148" s="171">
        <v>16</v>
      </c>
      <c r="E148" s="290"/>
      <c r="F148" s="88"/>
      <c r="G148" s="88"/>
      <c r="H148" s="88"/>
      <c r="I148" s="88"/>
      <c r="J148" s="88"/>
      <c r="K148" s="88"/>
      <c r="L148" s="88"/>
      <c r="M148" s="88"/>
      <c r="N148" s="88"/>
      <c r="O148" s="106"/>
      <c r="P148" s="106"/>
      <c r="Q148" s="106"/>
      <c r="R148" s="88"/>
      <c r="S148" s="88"/>
      <c r="T148" s="88"/>
      <c r="U148" s="88"/>
      <c r="V148" s="88"/>
      <c r="W148" s="88"/>
      <c r="X148" s="106"/>
      <c r="Y148" s="106"/>
      <c r="Z148" s="107"/>
      <c r="AA148" s="34" t="s">
        <v>122</v>
      </c>
      <c r="AB148" s="17">
        <f t="shared" si="14"/>
        <v>0</v>
      </c>
      <c r="AC148" s="29">
        <v>60</v>
      </c>
      <c r="AD148" s="2">
        <f t="shared" si="12"/>
        <v>5</v>
      </c>
      <c r="AE148" s="2">
        <f t="shared" si="13"/>
        <v>0</v>
      </c>
      <c r="AG148" s="35"/>
    </row>
    <row r="149" spans="1:33" x14ac:dyDescent="0.35">
      <c r="A149" s="159">
        <v>24</v>
      </c>
      <c r="B149" s="132" t="s">
        <v>123</v>
      </c>
      <c r="C149" s="207" t="s">
        <v>124</v>
      </c>
      <c r="D149" s="171">
        <v>16</v>
      </c>
      <c r="E149" s="290"/>
      <c r="F149" s="88"/>
      <c r="G149" s="88"/>
      <c r="H149" s="88"/>
      <c r="I149" s="88"/>
      <c r="J149" s="88"/>
      <c r="K149" s="88"/>
      <c r="L149" s="88"/>
      <c r="M149" s="88"/>
      <c r="N149" s="88"/>
      <c r="O149" s="106"/>
      <c r="P149" s="106"/>
      <c r="Q149" s="106"/>
      <c r="R149" s="88"/>
      <c r="S149" s="88"/>
      <c r="T149" s="88"/>
      <c r="U149" s="88"/>
      <c r="V149" s="88"/>
      <c r="W149" s="88"/>
      <c r="X149" s="106"/>
      <c r="Y149" s="106"/>
      <c r="Z149" s="107"/>
      <c r="AA149" s="34" t="s">
        <v>122</v>
      </c>
      <c r="AB149" s="17">
        <f t="shared" si="14"/>
        <v>0</v>
      </c>
      <c r="AC149" s="29">
        <v>60</v>
      </c>
      <c r="AD149" s="2">
        <f t="shared" si="12"/>
        <v>5</v>
      </c>
      <c r="AE149" s="2">
        <f t="shared" si="13"/>
        <v>0</v>
      </c>
      <c r="AG149" s="35"/>
    </row>
    <row r="150" spans="1:33" x14ac:dyDescent="0.35">
      <c r="A150" s="159">
        <v>24</v>
      </c>
      <c r="B150" s="132" t="s">
        <v>90</v>
      </c>
      <c r="C150" s="207" t="s">
        <v>266</v>
      </c>
      <c r="D150" s="171">
        <v>18</v>
      </c>
      <c r="E150" s="290"/>
      <c r="F150" s="88"/>
      <c r="G150" s="88"/>
      <c r="H150" s="88"/>
      <c r="I150" s="88"/>
      <c r="J150" s="88"/>
      <c r="K150" s="88"/>
      <c r="L150" s="88"/>
      <c r="M150" s="88"/>
      <c r="N150" s="88"/>
      <c r="O150" s="106"/>
      <c r="P150" s="106"/>
      <c r="Q150" s="106"/>
      <c r="R150" s="88"/>
      <c r="S150" s="88"/>
      <c r="T150" s="88"/>
      <c r="U150" s="88"/>
      <c r="V150" s="88"/>
      <c r="W150" s="88"/>
      <c r="X150" s="106"/>
      <c r="Y150" s="106"/>
      <c r="Z150" s="107"/>
      <c r="AA150" s="34" t="s">
        <v>90</v>
      </c>
      <c r="AB150" s="17">
        <f t="shared" si="14"/>
        <v>0</v>
      </c>
      <c r="AC150" s="29">
        <v>48</v>
      </c>
      <c r="AD150" s="2">
        <f t="shared" si="12"/>
        <v>4</v>
      </c>
      <c r="AE150" s="2">
        <f t="shared" si="13"/>
        <v>0</v>
      </c>
      <c r="AG150" s="35"/>
    </row>
    <row r="151" spans="1:33" x14ac:dyDescent="0.35">
      <c r="A151" s="159">
        <v>24</v>
      </c>
      <c r="B151" s="143" t="s">
        <v>75</v>
      </c>
      <c r="C151" s="226" t="s">
        <v>76</v>
      </c>
      <c r="D151" s="184">
        <v>15</v>
      </c>
      <c r="E151" s="290"/>
      <c r="F151" s="88"/>
      <c r="G151" s="88"/>
      <c r="H151" s="88"/>
      <c r="I151" s="88"/>
      <c r="J151" s="88"/>
      <c r="K151" s="88"/>
      <c r="L151" s="88"/>
      <c r="M151" s="88"/>
      <c r="N151" s="88"/>
      <c r="O151" s="106"/>
      <c r="P151" s="106"/>
      <c r="Q151" s="106"/>
      <c r="R151" s="88"/>
      <c r="S151" s="88"/>
      <c r="T151" s="88"/>
      <c r="U151" s="88"/>
      <c r="V151" s="88"/>
      <c r="W151" s="88"/>
      <c r="X151" s="106"/>
      <c r="Y151" s="106"/>
      <c r="Z151" s="107"/>
      <c r="AA151" s="34" t="s">
        <v>75</v>
      </c>
      <c r="AB151" s="17">
        <f t="shared" si="14"/>
        <v>0</v>
      </c>
      <c r="AC151" s="29">
        <v>84</v>
      </c>
      <c r="AD151" s="2">
        <f t="shared" si="12"/>
        <v>7</v>
      </c>
      <c r="AE151" s="2">
        <f t="shared" si="13"/>
        <v>0</v>
      </c>
      <c r="AG151" s="35"/>
    </row>
    <row r="152" spans="1:33" x14ac:dyDescent="0.35">
      <c r="A152" s="159">
        <v>24</v>
      </c>
      <c r="B152" s="132" t="s">
        <v>117</v>
      </c>
      <c r="C152" s="207" t="s">
        <v>118</v>
      </c>
      <c r="D152" s="171"/>
      <c r="E152" s="290"/>
      <c r="F152" s="88"/>
      <c r="G152" s="88"/>
      <c r="H152" s="88"/>
      <c r="I152" s="88"/>
      <c r="J152" s="88"/>
      <c r="K152" s="88"/>
      <c r="L152" s="88"/>
      <c r="M152" s="88"/>
      <c r="N152" s="88"/>
      <c r="O152" s="106"/>
      <c r="P152" s="106"/>
      <c r="Q152" s="106"/>
      <c r="R152" s="88"/>
      <c r="S152" s="88"/>
      <c r="T152" s="88"/>
      <c r="U152" s="88"/>
      <c r="V152" s="88"/>
      <c r="W152" s="88"/>
      <c r="X152" s="106"/>
      <c r="Y152" s="106"/>
      <c r="Z152" s="107"/>
      <c r="AA152" s="34" t="s">
        <v>75</v>
      </c>
      <c r="AB152" s="17">
        <f t="shared" si="14"/>
        <v>0</v>
      </c>
      <c r="AC152" s="29"/>
      <c r="AD152" s="2">
        <f t="shared" si="12"/>
        <v>0</v>
      </c>
      <c r="AE152" s="2">
        <f t="shared" si="13"/>
        <v>0</v>
      </c>
      <c r="AG152" s="35"/>
    </row>
    <row r="153" spans="1:33" x14ac:dyDescent="0.35">
      <c r="A153" s="159">
        <v>24</v>
      </c>
      <c r="B153" s="132" t="s">
        <v>119</v>
      </c>
      <c r="C153" s="207" t="s">
        <v>301</v>
      </c>
      <c r="D153" s="171"/>
      <c r="E153" s="290"/>
      <c r="F153" s="88"/>
      <c r="G153" s="88"/>
      <c r="H153" s="88"/>
      <c r="I153" s="88"/>
      <c r="J153" s="88"/>
      <c r="K153" s="88"/>
      <c r="L153" s="88"/>
      <c r="M153" s="88"/>
      <c r="N153" s="88"/>
      <c r="O153" s="106"/>
      <c r="P153" s="106"/>
      <c r="Q153" s="106"/>
      <c r="R153" s="88"/>
      <c r="S153" s="88"/>
      <c r="T153" s="88"/>
      <c r="U153" s="88"/>
      <c r="V153" s="88"/>
      <c r="W153" s="88"/>
      <c r="X153" s="106"/>
      <c r="Y153" s="106"/>
      <c r="Z153" s="107"/>
      <c r="AA153" s="34" t="s">
        <v>112</v>
      </c>
      <c r="AB153" s="17">
        <f t="shared" si="14"/>
        <v>0</v>
      </c>
      <c r="AC153" s="29"/>
      <c r="AD153" s="2">
        <f t="shared" si="12"/>
        <v>0</v>
      </c>
      <c r="AE153" s="2">
        <f t="shared" si="13"/>
        <v>0</v>
      </c>
      <c r="AG153" s="35"/>
    </row>
    <row r="154" spans="1:33" x14ac:dyDescent="0.35">
      <c r="A154" s="159">
        <v>24</v>
      </c>
      <c r="B154" s="143" t="s">
        <v>315</v>
      </c>
      <c r="C154" s="226" t="s">
        <v>302</v>
      </c>
      <c r="D154" s="184">
        <v>14</v>
      </c>
      <c r="E154" s="290"/>
      <c r="F154" s="88"/>
      <c r="G154" s="88"/>
      <c r="H154" s="88"/>
      <c r="I154" s="88"/>
      <c r="J154" s="88"/>
      <c r="K154" s="88"/>
      <c r="L154" s="88"/>
      <c r="M154" s="88"/>
      <c r="N154" s="88"/>
      <c r="O154" s="106"/>
      <c r="P154" s="106"/>
      <c r="Q154" s="106"/>
      <c r="R154" s="88"/>
      <c r="S154" s="88"/>
      <c r="T154" s="88"/>
      <c r="U154" s="88"/>
      <c r="V154" s="88"/>
      <c r="W154" s="88"/>
      <c r="X154" s="106"/>
      <c r="Y154" s="106"/>
      <c r="Z154" s="107"/>
      <c r="AA154" s="34" t="s">
        <v>122</v>
      </c>
      <c r="AB154" s="17">
        <f t="shared" si="14"/>
        <v>0</v>
      </c>
      <c r="AC154" s="29">
        <v>60</v>
      </c>
      <c r="AD154" s="2">
        <f t="shared" si="12"/>
        <v>5</v>
      </c>
      <c r="AE154" s="2">
        <f t="shared" si="13"/>
        <v>0</v>
      </c>
      <c r="AG154" s="35"/>
    </row>
    <row r="155" spans="1:33" x14ac:dyDescent="0.35">
      <c r="A155" s="159">
        <v>24</v>
      </c>
      <c r="B155" s="143" t="s">
        <v>128</v>
      </c>
      <c r="C155" s="226" t="s">
        <v>129</v>
      </c>
      <c r="D155" s="184">
        <v>14</v>
      </c>
      <c r="E155" s="290"/>
      <c r="F155" s="88"/>
      <c r="G155" s="88"/>
      <c r="H155" s="88"/>
      <c r="I155" s="88"/>
      <c r="J155" s="88"/>
      <c r="K155" s="88"/>
      <c r="L155" s="88"/>
      <c r="M155" s="88"/>
      <c r="N155" s="88"/>
      <c r="O155" s="106"/>
      <c r="P155" s="106"/>
      <c r="Q155" s="106"/>
      <c r="R155" s="88"/>
      <c r="S155" s="88"/>
      <c r="T155" s="88"/>
      <c r="U155" s="88"/>
      <c r="V155" s="88"/>
      <c r="W155" s="88"/>
      <c r="X155" s="106"/>
      <c r="Y155" s="106"/>
      <c r="Z155" s="107"/>
      <c r="AA155" s="34" t="s">
        <v>122</v>
      </c>
      <c r="AB155" s="17">
        <f t="shared" si="14"/>
        <v>0</v>
      </c>
      <c r="AC155" s="29">
        <v>60</v>
      </c>
      <c r="AD155" s="2">
        <f t="shared" si="12"/>
        <v>5</v>
      </c>
      <c r="AE155" s="2">
        <f t="shared" si="13"/>
        <v>0</v>
      </c>
      <c r="AG155" s="35"/>
    </row>
    <row r="156" spans="1:33" x14ac:dyDescent="0.35">
      <c r="A156" s="159">
        <v>24</v>
      </c>
      <c r="B156" s="143" t="s">
        <v>284</v>
      </c>
      <c r="C156" s="226" t="s">
        <v>283</v>
      </c>
      <c r="D156" s="184">
        <v>9</v>
      </c>
      <c r="E156" s="290"/>
      <c r="F156" s="88"/>
      <c r="G156" s="88"/>
      <c r="H156" s="88"/>
      <c r="I156" s="88"/>
      <c r="J156" s="88"/>
      <c r="K156" s="88"/>
      <c r="L156" s="88"/>
      <c r="M156" s="88"/>
      <c r="N156" s="88"/>
      <c r="O156" s="106"/>
      <c r="P156" s="106"/>
      <c r="Q156" s="106"/>
      <c r="R156" s="88"/>
      <c r="S156" s="88"/>
      <c r="T156" s="88"/>
      <c r="U156" s="88"/>
      <c r="V156" s="88"/>
      <c r="W156" s="88"/>
      <c r="X156" s="106"/>
      <c r="Y156" s="106"/>
      <c r="Z156" s="107"/>
      <c r="AA156" s="34" t="s">
        <v>122</v>
      </c>
      <c r="AB156" s="17">
        <f t="shared" si="14"/>
        <v>0</v>
      </c>
      <c r="AC156" s="29">
        <v>60</v>
      </c>
      <c r="AD156" s="2">
        <f t="shared" si="12"/>
        <v>5</v>
      </c>
      <c r="AE156" s="2">
        <f t="shared" si="13"/>
        <v>0</v>
      </c>
      <c r="AG156" s="35"/>
    </row>
    <row r="157" spans="1:33" x14ac:dyDescent="0.35">
      <c r="A157" s="159">
        <v>24</v>
      </c>
      <c r="B157" s="132" t="s">
        <v>130</v>
      </c>
      <c r="C157" s="207" t="s">
        <v>131</v>
      </c>
      <c r="D157" s="171">
        <v>14</v>
      </c>
      <c r="E157" s="290"/>
      <c r="F157" s="88"/>
      <c r="G157" s="88"/>
      <c r="H157" s="88"/>
      <c r="I157" s="88"/>
      <c r="J157" s="88"/>
      <c r="K157" s="88"/>
      <c r="L157" s="88"/>
      <c r="M157" s="88"/>
      <c r="N157" s="88"/>
      <c r="O157" s="106"/>
      <c r="P157" s="106"/>
      <c r="Q157" s="106"/>
      <c r="R157" s="88"/>
      <c r="S157" s="88"/>
      <c r="T157" s="88"/>
      <c r="U157" s="88"/>
      <c r="V157" s="88"/>
      <c r="W157" s="88"/>
      <c r="X157" s="106"/>
      <c r="Y157" s="106"/>
      <c r="Z157" s="107"/>
      <c r="AA157" s="34" t="s">
        <v>122</v>
      </c>
      <c r="AB157" s="17">
        <f t="shared" si="14"/>
        <v>0</v>
      </c>
      <c r="AC157" s="29">
        <v>60</v>
      </c>
      <c r="AD157" s="2">
        <f t="shared" si="12"/>
        <v>5</v>
      </c>
      <c r="AE157" s="2">
        <f t="shared" si="13"/>
        <v>0</v>
      </c>
      <c r="AG157" s="35"/>
    </row>
    <row r="158" spans="1:33" x14ac:dyDescent="0.35">
      <c r="A158" s="159">
        <v>21</v>
      </c>
      <c r="B158" s="132" t="s">
        <v>90</v>
      </c>
      <c r="C158" s="207" t="s">
        <v>469</v>
      </c>
      <c r="D158" s="171">
        <v>18</v>
      </c>
      <c r="E158" s="290"/>
      <c r="F158" s="88"/>
      <c r="G158" s="88"/>
      <c r="H158" s="88"/>
      <c r="I158" s="88"/>
      <c r="J158" s="88"/>
      <c r="K158" s="88"/>
      <c r="L158" s="88"/>
      <c r="M158" s="88"/>
      <c r="N158" s="88"/>
      <c r="O158" s="106"/>
      <c r="P158" s="106"/>
      <c r="Q158" s="106"/>
      <c r="R158" s="88"/>
      <c r="S158" s="88"/>
      <c r="T158" s="88"/>
      <c r="U158" s="88"/>
      <c r="V158" s="88"/>
      <c r="W158" s="88"/>
      <c r="X158" s="106"/>
      <c r="Y158" s="106"/>
      <c r="Z158" s="107"/>
      <c r="AA158" s="34" t="s">
        <v>90</v>
      </c>
      <c r="AB158" s="17">
        <f t="shared" ref="AB158" si="15">SUM(F158:Z158)</f>
        <v>0</v>
      </c>
      <c r="AC158" s="29">
        <v>48</v>
      </c>
      <c r="AD158" s="2">
        <f t="shared" ref="AD158" si="16">AC158/12</f>
        <v>4</v>
      </c>
      <c r="AE158" s="2">
        <f t="shared" ref="AE158" si="17">ROUND(IFERROR(AB158/D158,0),)</f>
        <v>0</v>
      </c>
      <c r="AG158" s="35"/>
    </row>
    <row r="159" spans="1:33" x14ac:dyDescent="0.35">
      <c r="A159" s="159">
        <v>24</v>
      </c>
      <c r="B159" s="132" t="s">
        <v>90</v>
      </c>
      <c r="C159" s="207" t="s">
        <v>308</v>
      </c>
      <c r="D159" s="171">
        <v>18</v>
      </c>
      <c r="E159" s="290"/>
      <c r="F159" s="88"/>
      <c r="G159" s="88"/>
      <c r="H159" s="88"/>
      <c r="I159" s="88"/>
      <c r="J159" s="88"/>
      <c r="K159" s="88"/>
      <c r="L159" s="88"/>
      <c r="M159" s="88"/>
      <c r="N159" s="88"/>
      <c r="O159" s="106"/>
      <c r="P159" s="106"/>
      <c r="Q159" s="106"/>
      <c r="R159" s="88"/>
      <c r="S159" s="88"/>
      <c r="T159" s="88"/>
      <c r="U159" s="88"/>
      <c r="V159" s="88"/>
      <c r="W159" s="88"/>
      <c r="X159" s="106"/>
      <c r="Y159" s="106"/>
      <c r="Z159" s="107"/>
      <c r="AA159" s="34" t="s">
        <v>90</v>
      </c>
      <c r="AB159" s="17">
        <f t="shared" si="14"/>
        <v>0</v>
      </c>
      <c r="AC159" s="29">
        <v>48</v>
      </c>
      <c r="AD159" s="2">
        <f t="shared" si="12"/>
        <v>4</v>
      </c>
      <c r="AE159" s="2">
        <f t="shared" si="13"/>
        <v>0</v>
      </c>
      <c r="AG159" s="35"/>
    </row>
    <row r="160" spans="1:33" x14ac:dyDescent="0.35">
      <c r="A160" s="159">
        <v>24</v>
      </c>
      <c r="B160" s="143" t="s">
        <v>132</v>
      </c>
      <c r="C160" s="226" t="s">
        <v>310</v>
      </c>
      <c r="D160" s="184"/>
      <c r="E160" s="290"/>
      <c r="F160" s="88"/>
      <c r="G160" s="88"/>
      <c r="H160" s="88"/>
      <c r="I160" s="88"/>
      <c r="J160" s="88"/>
      <c r="K160" s="88"/>
      <c r="L160" s="88"/>
      <c r="M160" s="88"/>
      <c r="N160" s="88"/>
      <c r="O160" s="106"/>
      <c r="P160" s="106"/>
      <c r="Q160" s="106"/>
      <c r="R160" s="88"/>
      <c r="S160" s="88"/>
      <c r="T160" s="88"/>
      <c r="U160" s="88"/>
      <c r="V160" s="88"/>
      <c r="W160" s="88"/>
      <c r="X160" s="106"/>
      <c r="Y160" s="106"/>
      <c r="Z160" s="107"/>
      <c r="AA160" s="34" t="s">
        <v>75</v>
      </c>
      <c r="AB160" s="17">
        <f t="shared" si="14"/>
        <v>0</v>
      </c>
      <c r="AC160" s="29">
        <v>60</v>
      </c>
      <c r="AD160" s="2">
        <f t="shared" si="12"/>
        <v>5</v>
      </c>
      <c r="AE160" s="2">
        <f t="shared" si="13"/>
        <v>0</v>
      </c>
      <c r="AG160" s="35"/>
    </row>
    <row r="161" spans="1:33" x14ac:dyDescent="0.35">
      <c r="A161" s="159">
        <v>24</v>
      </c>
      <c r="B161" s="143" t="s">
        <v>305</v>
      </c>
      <c r="C161" s="226" t="s">
        <v>303</v>
      </c>
      <c r="D161" s="184"/>
      <c r="E161" s="290"/>
      <c r="F161" s="88"/>
      <c r="G161" s="88"/>
      <c r="H161" s="88"/>
      <c r="I161" s="88"/>
      <c r="J161" s="88"/>
      <c r="K161" s="88"/>
      <c r="L161" s="88"/>
      <c r="M161" s="88"/>
      <c r="N161" s="88"/>
      <c r="O161" s="106"/>
      <c r="P161" s="106"/>
      <c r="Q161" s="106"/>
      <c r="R161" s="88"/>
      <c r="S161" s="88"/>
      <c r="T161" s="88"/>
      <c r="U161" s="88"/>
      <c r="V161" s="88"/>
      <c r="W161" s="88"/>
      <c r="X161" s="106"/>
      <c r="Y161" s="106"/>
      <c r="Z161" s="107"/>
      <c r="AA161" s="34" t="s">
        <v>75</v>
      </c>
      <c r="AB161" s="17">
        <f t="shared" si="14"/>
        <v>0</v>
      </c>
      <c r="AC161" s="29">
        <v>60</v>
      </c>
      <c r="AD161" s="2">
        <f t="shared" si="12"/>
        <v>5</v>
      </c>
      <c r="AE161" s="2">
        <f t="shared" si="13"/>
        <v>0</v>
      </c>
      <c r="AG161" s="35"/>
    </row>
    <row r="162" spans="1:33" x14ac:dyDescent="0.35">
      <c r="A162" s="159">
        <v>24</v>
      </c>
      <c r="B162" s="143" t="s">
        <v>305</v>
      </c>
      <c r="C162" s="226" t="s">
        <v>320</v>
      </c>
      <c r="D162" s="184"/>
      <c r="E162" s="290"/>
      <c r="F162" s="88"/>
      <c r="G162" s="88"/>
      <c r="H162" s="88"/>
      <c r="I162" s="88"/>
      <c r="J162" s="88"/>
      <c r="K162" s="88"/>
      <c r="L162" s="88"/>
      <c r="M162" s="88"/>
      <c r="N162" s="88"/>
      <c r="O162" s="106"/>
      <c r="P162" s="106"/>
      <c r="Q162" s="106"/>
      <c r="R162" s="88"/>
      <c r="S162" s="88"/>
      <c r="T162" s="88"/>
      <c r="U162" s="88"/>
      <c r="V162" s="88"/>
      <c r="W162" s="88"/>
      <c r="X162" s="106"/>
      <c r="Y162" s="106"/>
      <c r="Z162" s="107"/>
      <c r="AA162" s="34" t="s">
        <v>75</v>
      </c>
      <c r="AB162" s="17">
        <f t="shared" si="14"/>
        <v>0</v>
      </c>
      <c r="AC162" s="29">
        <v>60</v>
      </c>
      <c r="AD162" s="2">
        <f t="shared" si="12"/>
        <v>5</v>
      </c>
      <c r="AE162" s="2">
        <f t="shared" si="13"/>
        <v>0</v>
      </c>
      <c r="AG162" s="35"/>
    </row>
    <row r="163" spans="1:33" x14ac:dyDescent="0.35">
      <c r="A163" s="159">
        <v>24</v>
      </c>
      <c r="B163" s="143" t="s">
        <v>305</v>
      </c>
      <c r="C163" s="226" t="s">
        <v>304</v>
      </c>
      <c r="D163" s="184"/>
      <c r="E163" s="290"/>
      <c r="F163" s="88"/>
      <c r="G163" s="88"/>
      <c r="H163" s="88"/>
      <c r="I163" s="88"/>
      <c r="J163" s="88"/>
      <c r="K163" s="88"/>
      <c r="L163" s="88"/>
      <c r="M163" s="88"/>
      <c r="N163" s="88"/>
      <c r="O163" s="106"/>
      <c r="P163" s="106"/>
      <c r="Q163" s="106"/>
      <c r="R163" s="88"/>
      <c r="S163" s="88"/>
      <c r="T163" s="88"/>
      <c r="U163" s="88"/>
      <c r="V163" s="88"/>
      <c r="W163" s="88"/>
      <c r="X163" s="106"/>
      <c r="Y163" s="106"/>
      <c r="Z163" s="107"/>
      <c r="AA163" s="34" t="s">
        <v>75</v>
      </c>
      <c r="AB163" s="17">
        <f t="shared" si="14"/>
        <v>0</v>
      </c>
      <c r="AC163" s="29">
        <v>60</v>
      </c>
      <c r="AD163" s="2">
        <f t="shared" si="12"/>
        <v>5</v>
      </c>
      <c r="AE163" s="2">
        <f t="shared" si="13"/>
        <v>0</v>
      </c>
      <c r="AG163" s="35"/>
    </row>
    <row r="164" spans="1:33" x14ac:dyDescent="0.35">
      <c r="A164" s="159">
        <v>24</v>
      </c>
      <c r="B164" s="143" t="s">
        <v>133</v>
      </c>
      <c r="C164" s="226" t="s">
        <v>134</v>
      </c>
      <c r="D164" s="184"/>
      <c r="E164" s="290"/>
      <c r="F164" s="88"/>
      <c r="G164" s="88"/>
      <c r="H164" s="88"/>
      <c r="I164" s="88"/>
      <c r="J164" s="88"/>
      <c r="K164" s="88"/>
      <c r="L164" s="88"/>
      <c r="M164" s="88"/>
      <c r="N164" s="88"/>
      <c r="O164" s="106"/>
      <c r="P164" s="106"/>
      <c r="Q164" s="106"/>
      <c r="R164" s="88"/>
      <c r="S164" s="88"/>
      <c r="T164" s="88"/>
      <c r="U164" s="88"/>
      <c r="V164" s="88"/>
      <c r="W164" s="88"/>
      <c r="X164" s="106"/>
      <c r="Y164" s="106"/>
      <c r="Z164" s="107"/>
      <c r="AA164" s="34" t="s">
        <v>75</v>
      </c>
      <c r="AB164" s="17">
        <f t="shared" si="14"/>
        <v>0</v>
      </c>
      <c r="AC164" s="29">
        <v>60</v>
      </c>
      <c r="AD164" s="2">
        <f t="shared" si="12"/>
        <v>5</v>
      </c>
      <c r="AE164" s="2">
        <f t="shared" si="13"/>
        <v>0</v>
      </c>
      <c r="AG164" s="35"/>
    </row>
    <row r="165" spans="1:33" x14ac:dyDescent="0.35">
      <c r="A165" s="159">
        <v>24</v>
      </c>
      <c r="B165" s="143" t="s">
        <v>135</v>
      </c>
      <c r="C165" s="226" t="s">
        <v>136</v>
      </c>
      <c r="D165" s="184"/>
      <c r="E165" s="290"/>
      <c r="F165" s="88"/>
      <c r="G165" s="88"/>
      <c r="H165" s="88"/>
      <c r="I165" s="88"/>
      <c r="J165" s="88"/>
      <c r="K165" s="88"/>
      <c r="L165" s="88"/>
      <c r="M165" s="88"/>
      <c r="N165" s="88"/>
      <c r="O165" s="106"/>
      <c r="P165" s="106"/>
      <c r="Q165" s="106"/>
      <c r="R165" s="88"/>
      <c r="S165" s="88"/>
      <c r="T165" s="88"/>
      <c r="U165" s="88"/>
      <c r="V165" s="88"/>
      <c r="W165" s="88"/>
      <c r="X165" s="106"/>
      <c r="Y165" s="106"/>
      <c r="Z165" s="107"/>
      <c r="AA165" s="34" t="s">
        <v>75</v>
      </c>
      <c r="AB165" s="17">
        <f t="shared" si="14"/>
        <v>0</v>
      </c>
      <c r="AC165" s="29">
        <v>60</v>
      </c>
      <c r="AD165" s="2">
        <f t="shared" si="12"/>
        <v>5</v>
      </c>
      <c r="AE165" s="2">
        <f t="shared" si="13"/>
        <v>0</v>
      </c>
      <c r="AG165" s="35"/>
    </row>
    <row r="166" spans="1:33" x14ac:dyDescent="0.35">
      <c r="A166" s="159">
        <v>24</v>
      </c>
      <c r="B166" s="143" t="s">
        <v>137</v>
      </c>
      <c r="C166" s="226" t="s">
        <v>138</v>
      </c>
      <c r="D166" s="184"/>
      <c r="E166" s="290"/>
      <c r="F166" s="88"/>
      <c r="G166" s="88"/>
      <c r="H166" s="88"/>
      <c r="I166" s="88"/>
      <c r="J166" s="88"/>
      <c r="K166" s="88"/>
      <c r="L166" s="88"/>
      <c r="M166" s="88"/>
      <c r="N166" s="88"/>
      <c r="O166" s="106"/>
      <c r="P166" s="106"/>
      <c r="Q166" s="106"/>
      <c r="R166" s="88"/>
      <c r="S166" s="88"/>
      <c r="T166" s="88"/>
      <c r="U166" s="88"/>
      <c r="V166" s="88"/>
      <c r="W166" s="88"/>
      <c r="X166" s="106"/>
      <c r="Y166" s="106"/>
      <c r="Z166" s="107"/>
      <c r="AA166" s="34" t="s">
        <v>75</v>
      </c>
      <c r="AB166" s="17">
        <f t="shared" si="14"/>
        <v>0</v>
      </c>
      <c r="AC166" s="29">
        <v>60</v>
      </c>
      <c r="AD166" s="2">
        <f t="shared" si="12"/>
        <v>5</v>
      </c>
      <c r="AE166" s="2">
        <f t="shared" si="13"/>
        <v>0</v>
      </c>
      <c r="AG166" s="35"/>
    </row>
    <row r="167" spans="1:33" x14ac:dyDescent="0.35">
      <c r="A167" s="159">
        <v>24</v>
      </c>
      <c r="B167" s="143" t="s">
        <v>139</v>
      </c>
      <c r="C167" s="226" t="s">
        <v>140</v>
      </c>
      <c r="D167" s="184"/>
      <c r="E167" s="290"/>
      <c r="F167" s="88"/>
      <c r="G167" s="88"/>
      <c r="H167" s="88"/>
      <c r="I167" s="88"/>
      <c r="J167" s="88"/>
      <c r="K167" s="88"/>
      <c r="L167" s="88"/>
      <c r="M167" s="88"/>
      <c r="N167" s="88"/>
      <c r="O167" s="106"/>
      <c r="P167" s="106"/>
      <c r="Q167" s="106"/>
      <c r="R167" s="88"/>
      <c r="S167" s="88"/>
      <c r="T167" s="88"/>
      <c r="U167" s="88"/>
      <c r="V167" s="88"/>
      <c r="W167" s="88"/>
      <c r="X167" s="106"/>
      <c r="Y167" s="106"/>
      <c r="Z167" s="107"/>
      <c r="AA167" s="34" t="s">
        <v>75</v>
      </c>
      <c r="AB167" s="17">
        <f t="shared" si="14"/>
        <v>0</v>
      </c>
      <c r="AC167" s="29">
        <v>60</v>
      </c>
      <c r="AD167" s="2">
        <f t="shared" si="12"/>
        <v>5</v>
      </c>
      <c r="AE167" s="2">
        <f t="shared" si="13"/>
        <v>0</v>
      </c>
      <c r="AG167" s="35"/>
    </row>
    <row r="168" spans="1:33" x14ac:dyDescent="0.35">
      <c r="A168" s="159">
        <v>24</v>
      </c>
      <c r="B168" s="135" t="s">
        <v>141</v>
      </c>
      <c r="C168" s="210" t="s">
        <v>142</v>
      </c>
      <c r="D168" s="175"/>
      <c r="E168" s="290"/>
      <c r="F168" s="88"/>
      <c r="G168" s="88"/>
      <c r="H168" s="88"/>
      <c r="I168" s="88"/>
      <c r="J168" s="88"/>
      <c r="K168" s="88"/>
      <c r="L168" s="88"/>
      <c r="M168" s="88"/>
      <c r="N168" s="88"/>
      <c r="O168" s="106"/>
      <c r="P168" s="106"/>
      <c r="Q168" s="106"/>
      <c r="R168" s="88"/>
      <c r="S168" s="88"/>
      <c r="T168" s="88"/>
      <c r="U168" s="88"/>
      <c r="V168" s="88"/>
      <c r="W168" s="88"/>
      <c r="X168" s="106"/>
      <c r="Y168" s="106"/>
      <c r="Z168" s="107"/>
      <c r="AA168" s="34" t="s">
        <v>75</v>
      </c>
      <c r="AB168" s="17">
        <f t="shared" si="14"/>
        <v>0</v>
      </c>
      <c r="AC168" s="29">
        <v>60</v>
      </c>
      <c r="AD168" s="2">
        <f t="shared" si="12"/>
        <v>5</v>
      </c>
      <c r="AE168" s="2">
        <f t="shared" si="13"/>
        <v>0</v>
      </c>
      <c r="AG168" s="35"/>
    </row>
    <row r="169" spans="1:33" x14ac:dyDescent="0.35">
      <c r="A169" s="159">
        <v>24</v>
      </c>
      <c r="B169" s="135" t="s">
        <v>143</v>
      </c>
      <c r="C169" s="210" t="s">
        <v>144</v>
      </c>
      <c r="D169" s="175"/>
      <c r="E169" s="290"/>
      <c r="F169" s="88"/>
      <c r="G169" s="88"/>
      <c r="H169" s="88"/>
      <c r="I169" s="88"/>
      <c r="J169" s="88"/>
      <c r="K169" s="88"/>
      <c r="L169" s="88"/>
      <c r="M169" s="88"/>
      <c r="N169" s="88"/>
      <c r="O169" s="106"/>
      <c r="P169" s="106"/>
      <c r="Q169" s="106"/>
      <c r="R169" s="88"/>
      <c r="S169" s="88"/>
      <c r="T169" s="88"/>
      <c r="U169" s="88"/>
      <c r="V169" s="88"/>
      <c r="W169" s="88"/>
      <c r="X169" s="106"/>
      <c r="Y169" s="106"/>
      <c r="Z169" s="107"/>
      <c r="AA169" s="34" t="s">
        <v>75</v>
      </c>
      <c r="AB169" s="17">
        <f t="shared" si="14"/>
        <v>0</v>
      </c>
      <c r="AC169" s="29">
        <v>60</v>
      </c>
      <c r="AD169" s="2">
        <f t="shared" si="12"/>
        <v>5</v>
      </c>
      <c r="AE169" s="2">
        <f t="shared" si="13"/>
        <v>0</v>
      </c>
      <c r="AG169" s="35"/>
    </row>
    <row r="170" spans="1:33" x14ac:dyDescent="0.35">
      <c r="A170" s="159">
        <v>24</v>
      </c>
      <c r="B170" s="135" t="s">
        <v>145</v>
      </c>
      <c r="C170" s="210" t="s">
        <v>146</v>
      </c>
      <c r="D170" s="175"/>
      <c r="E170" s="290"/>
      <c r="F170" s="88"/>
      <c r="G170" s="88"/>
      <c r="H170" s="88"/>
      <c r="I170" s="88"/>
      <c r="J170" s="88"/>
      <c r="K170" s="88"/>
      <c r="L170" s="88"/>
      <c r="M170" s="88"/>
      <c r="N170" s="88"/>
      <c r="O170" s="106"/>
      <c r="P170" s="106"/>
      <c r="Q170" s="106"/>
      <c r="R170" s="88"/>
      <c r="S170" s="88"/>
      <c r="T170" s="88"/>
      <c r="U170" s="88"/>
      <c r="V170" s="88"/>
      <c r="W170" s="88"/>
      <c r="X170" s="106"/>
      <c r="Y170" s="106"/>
      <c r="Z170" s="107"/>
      <c r="AA170" s="34" t="s">
        <v>75</v>
      </c>
      <c r="AB170" s="17">
        <f t="shared" si="14"/>
        <v>0</v>
      </c>
      <c r="AC170" s="29">
        <v>60</v>
      </c>
      <c r="AD170" s="2">
        <f t="shared" si="12"/>
        <v>5</v>
      </c>
      <c r="AE170" s="2">
        <f t="shared" si="13"/>
        <v>0</v>
      </c>
      <c r="AG170" s="35"/>
    </row>
    <row r="171" spans="1:33" x14ac:dyDescent="0.35">
      <c r="A171" s="159">
        <v>24</v>
      </c>
      <c r="B171" s="135" t="s">
        <v>147</v>
      </c>
      <c r="C171" s="210" t="s">
        <v>148</v>
      </c>
      <c r="D171" s="175"/>
      <c r="E171" s="290"/>
      <c r="F171" s="88"/>
      <c r="G171" s="88"/>
      <c r="H171" s="88"/>
      <c r="I171" s="88"/>
      <c r="J171" s="88"/>
      <c r="K171" s="88"/>
      <c r="L171" s="88"/>
      <c r="M171" s="88"/>
      <c r="N171" s="88"/>
      <c r="O171" s="106"/>
      <c r="P171" s="106"/>
      <c r="Q171" s="106"/>
      <c r="R171" s="88"/>
      <c r="S171" s="88"/>
      <c r="T171" s="88"/>
      <c r="U171" s="88"/>
      <c r="V171" s="88"/>
      <c r="W171" s="88"/>
      <c r="X171" s="106"/>
      <c r="Y171" s="106"/>
      <c r="Z171" s="107"/>
      <c r="AA171" s="34" t="s">
        <v>75</v>
      </c>
      <c r="AB171" s="17">
        <f t="shared" si="14"/>
        <v>0</v>
      </c>
      <c r="AC171" s="29">
        <v>60</v>
      </c>
      <c r="AD171" s="2">
        <f t="shared" si="12"/>
        <v>5</v>
      </c>
      <c r="AE171" s="2">
        <f t="shared" si="13"/>
        <v>0</v>
      </c>
      <c r="AG171" s="35"/>
    </row>
    <row r="172" spans="1:33" ht="15" thickBot="1" x14ac:dyDescent="0.4">
      <c r="A172" s="162">
        <v>24</v>
      </c>
      <c r="B172" s="137" t="s">
        <v>149</v>
      </c>
      <c r="C172" s="229" t="s">
        <v>150</v>
      </c>
      <c r="D172" s="176"/>
      <c r="E172" s="291"/>
      <c r="F172" s="92"/>
      <c r="G172" s="92"/>
      <c r="H172" s="92"/>
      <c r="I172" s="92"/>
      <c r="J172" s="92"/>
      <c r="K172" s="92"/>
      <c r="L172" s="92"/>
      <c r="M172" s="92"/>
      <c r="N172" s="92"/>
      <c r="O172" s="112"/>
      <c r="P172" s="112"/>
      <c r="Q172" s="112"/>
      <c r="R172" s="92"/>
      <c r="S172" s="92"/>
      <c r="T172" s="92"/>
      <c r="U172" s="92"/>
      <c r="V172" s="92"/>
      <c r="W172" s="92"/>
      <c r="X172" s="112"/>
      <c r="Y172" s="112"/>
      <c r="Z172" s="113"/>
      <c r="AA172" s="34" t="s">
        <v>75</v>
      </c>
      <c r="AB172" s="17">
        <f t="shared" si="14"/>
        <v>0</v>
      </c>
      <c r="AC172" s="29">
        <v>60</v>
      </c>
      <c r="AD172" s="2">
        <f t="shared" si="12"/>
        <v>5</v>
      </c>
      <c r="AE172" s="2">
        <f t="shared" si="13"/>
        <v>0</v>
      </c>
      <c r="AG172" s="35"/>
    </row>
    <row r="173" spans="1:33" x14ac:dyDescent="0.35">
      <c r="A173" s="158">
        <v>25</v>
      </c>
      <c r="B173" s="141" t="s">
        <v>296</v>
      </c>
      <c r="C173" s="235" t="s">
        <v>294</v>
      </c>
      <c r="D173" s="181">
        <v>16</v>
      </c>
      <c r="E173" s="287"/>
      <c r="F173" s="129">
        <v>120</v>
      </c>
      <c r="G173" s="89"/>
      <c r="H173" s="89">
        <f>16*9</f>
        <v>144</v>
      </c>
      <c r="I173" s="129">
        <v>120</v>
      </c>
      <c r="J173" s="89"/>
      <c r="K173" s="89">
        <f>16*9</f>
        <v>144</v>
      </c>
      <c r="L173" s="129">
        <v>120</v>
      </c>
      <c r="M173" s="89"/>
      <c r="N173" s="89">
        <v>144</v>
      </c>
      <c r="O173" s="106"/>
      <c r="P173" s="104"/>
      <c r="Q173" s="104"/>
      <c r="R173" s="129">
        <v>120</v>
      </c>
      <c r="S173" s="89"/>
      <c r="T173" s="89">
        <v>144</v>
      </c>
      <c r="U173" s="89"/>
      <c r="V173" s="89"/>
      <c r="W173" s="89"/>
      <c r="X173" s="104"/>
      <c r="Y173" s="104"/>
      <c r="Z173" s="105"/>
      <c r="AA173" s="34" t="s">
        <v>161</v>
      </c>
      <c r="AB173" s="17">
        <f t="shared" si="14"/>
        <v>1056</v>
      </c>
      <c r="AC173" s="29">
        <v>84</v>
      </c>
      <c r="AD173" s="2">
        <f t="shared" si="12"/>
        <v>7</v>
      </c>
      <c r="AE173" s="2">
        <f t="shared" si="13"/>
        <v>66</v>
      </c>
      <c r="AG173" s="35"/>
    </row>
    <row r="174" spans="1:33" ht="15" thickBot="1" x14ac:dyDescent="0.4">
      <c r="A174" s="159">
        <v>25</v>
      </c>
      <c r="B174" s="132" t="s">
        <v>297</v>
      </c>
      <c r="C174" s="207" t="s">
        <v>295</v>
      </c>
      <c r="D174" s="171">
        <v>16</v>
      </c>
      <c r="E174" s="291"/>
      <c r="F174" s="88"/>
      <c r="G174" s="88"/>
      <c r="H174" s="89"/>
      <c r="I174" s="89"/>
      <c r="J174" s="89"/>
      <c r="K174" s="89"/>
      <c r="L174" s="89"/>
      <c r="M174" s="89"/>
      <c r="N174" s="89"/>
      <c r="O174" s="104"/>
      <c r="P174" s="104"/>
      <c r="Q174" s="104"/>
      <c r="R174" s="88"/>
      <c r="S174" s="88"/>
      <c r="T174" s="88"/>
      <c r="U174" s="88"/>
      <c r="V174" s="88"/>
      <c r="W174" s="88"/>
      <c r="X174" s="106"/>
      <c r="Y174" s="106"/>
      <c r="Z174" s="107"/>
      <c r="AA174" s="34" t="s">
        <v>161</v>
      </c>
      <c r="AB174" s="17">
        <f t="shared" si="14"/>
        <v>0</v>
      </c>
      <c r="AC174" s="29">
        <v>84</v>
      </c>
      <c r="AD174" s="2">
        <f t="shared" si="12"/>
        <v>7</v>
      </c>
      <c r="AE174" s="2">
        <f t="shared" si="13"/>
        <v>0</v>
      </c>
      <c r="AG174" s="35"/>
    </row>
    <row r="175" spans="1:33" x14ac:dyDescent="0.35">
      <c r="A175" s="157">
        <v>26</v>
      </c>
      <c r="B175" s="136" t="s">
        <v>159</v>
      </c>
      <c r="C175" s="228" t="s">
        <v>109</v>
      </c>
      <c r="D175" s="169">
        <v>15</v>
      </c>
      <c r="E175" s="287"/>
      <c r="F175" s="87"/>
      <c r="G175" s="87"/>
      <c r="H175" s="87"/>
      <c r="I175" s="87"/>
      <c r="J175" s="87"/>
      <c r="K175" s="87"/>
      <c r="L175" s="87"/>
      <c r="M175" s="87"/>
      <c r="N175" s="87"/>
      <c r="O175" s="102"/>
      <c r="P175" s="102"/>
      <c r="Q175" s="102"/>
      <c r="R175" s="87"/>
      <c r="S175" s="87"/>
      <c r="T175" s="87"/>
      <c r="U175" s="87"/>
      <c r="V175" s="87"/>
      <c r="W175" s="87"/>
      <c r="X175" s="102"/>
      <c r="Y175" s="102"/>
      <c r="Z175" s="103"/>
      <c r="AA175" s="37" t="s">
        <v>159</v>
      </c>
      <c r="AB175" s="17">
        <f t="shared" si="14"/>
        <v>0</v>
      </c>
      <c r="AC175" s="29">
        <v>96</v>
      </c>
      <c r="AD175" s="2">
        <f t="shared" si="12"/>
        <v>8</v>
      </c>
      <c r="AE175" s="2">
        <f t="shared" si="13"/>
        <v>0</v>
      </c>
      <c r="AG175" s="35"/>
    </row>
    <row r="176" spans="1:33" x14ac:dyDescent="0.35">
      <c r="A176" s="159">
        <v>26</v>
      </c>
      <c r="B176" s="146" t="s">
        <v>296</v>
      </c>
      <c r="C176" s="224" t="s">
        <v>294</v>
      </c>
      <c r="D176" s="187">
        <v>16</v>
      </c>
      <c r="E176" s="290"/>
      <c r="F176" s="88">
        <v>144</v>
      </c>
      <c r="G176" s="88"/>
      <c r="H176" s="88">
        <f t="shared" ref="H176:T176" si="18">16*9</f>
        <v>144</v>
      </c>
      <c r="I176" s="88">
        <f t="shared" si="18"/>
        <v>144</v>
      </c>
      <c r="J176" s="88"/>
      <c r="K176" s="88">
        <f t="shared" si="18"/>
        <v>144</v>
      </c>
      <c r="L176" s="267">
        <f>16*5</f>
        <v>80</v>
      </c>
      <c r="M176" s="88"/>
      <c r="N176" s="88">
        <f t="shared" si="18"/>
        <v>144</v>
      </c>
      <c r="O176" s="106"/>
      <c r="P176" s="106"/>
      <c r="Q176" s="106"/>
      <c r="R176" s="88">
        <f t="shared" si="18"/>
        <v>144</v>
      </c>
      <c r="S176" s="88"/>
      <c r="T176" s="88">
        <f t="shared" si="18"/>
        <v>144</v>
      </c>
      <c r="U176" s="88"/>
      <c r="V176" s="88"/>
      <c r="W176" s="88"/>
      <c r="X176" s="106"/>
      <c r="Y176" s="106"/>
      <c r="Z176" s="107"/>
      <c r="AA176" s="37" t="s">
        <v>161</v>
      </c>
      <c r="AB176" s="17">
        <f t="shared" si="14"/>
        <v>1088</v>
      </c>
      <c r="AC176" s="29">
        <v>84</v>
      </c>
      <c r="AD176" s="2">
        <f t="shared" si="12"/>
        <v>7</v>
      </c>
      <c r="AE176" s="2">
        <f t="shared" si="13"/>
        <v>68</v>
      </c>
      <c r="AG176" s="35"/>
    </row>
    <row r="177" spans="1:33" x14ac:dyDescent="0.35">
      <c r="A177" s="160">
        <v>26</v>
      </c>
      <c r="B177" s="154" t="s">
        <v>297</v>
      </c>
      <c r="C177" s="236" t="s">
        <v>295</v>
      </c>
      <c r="D177" s="197">
        <v>16</v>
      </c>
      <c r="E177" s="290"/>
      <c r="F177" s="88"/>
      <c r="G177" s="88"/>
      <c r="H177" s="88"/>
      <c r="I177" s="88"/>
      <c r="J177" s="88"/>
      <c r="K177" s="88"/>
      <c r="L177" s="88"/>
      <c r="M177" s="88"/>
      <c r="N177" s="88"/>
      <c r="O177" s="106"/>
      <c r="P177" s="106"/>
      <c r="Q177" s="106"/>
      <c r="R177" s="88"/>
      <c r="S177" s="88"/>
      <c r="T177" s="88"/>
      <c r="U177" s="88"/>
      <c r="V177" s="88"/>
      <c r="W177" s="88"/>
      <c r="X177" s="108"/>
      <c r="Y177" s="108"/>
      <c r="Z177" s="109"/>
      <c r="AA177" s="37" t="s">
        <v>161</v>
      </c>
      <c r="AB177" s="17">
        <f t="shared" ref="AB177" si="19">SUM(F177:Z177)</f>
        <v>0</v>
      </c>
      <c r="AC177" s="29">
        <v>84</v>
      </c>
      <c r="AD177" s="2">
        <f t="shared" ref="AD177" si="20">AC177/12</f>
        <v>7</v>
      </c>
      <c r="AE177" s="2">
        <f t="shared" ref="AE177" si="21">ROUND(IFERROR(AB177/D177,0),)</f>
        <v>0</v>
      </c>
      <c r="AG177" s="35"/>
    </row>
    <row r="178" spans="1:33" ht="15" thickBot="1" x14ac:dyDescent="0.4">
      <c r="A178" s="160">
        <v>26</v>
      </c>
      <c r="B178" s="154" t="s">
        <v>506</v>
      </c>
      <c r="C178" s="236" t="s">
        <v>504</v>
      </c>
      <c r="D178" s="197">
        <v>16</v>
      </c>
      <c r="E178" s="291"/>
      <c r="F178" s="88"/>
      <c r="G178" s="88"/>
      <c r="H178" s="88"/>
      <c r="I178" s="88"/>
      <c r="J178" s="88"/>
      <c r="K178" s="88"/>
      <c r="L178" s="88"/>
      <c r="M178" s="88"/>
      <c r="N178" s="88"/>
      <c r="O178" s="106"/>
      <c r="P178" s="106"/>
      <c r="Q178" s="106"/>
      <c r="R178" s="88"/>
      <c r="S178" s="88"/>
      <c r="T178" s="88"/>
      <c r="U178" s="88"/>
      <c r="V178" s="88"/>
      <c r="W178" s="88"/>
      <c r="X178" s="108"/>
      <c r="Y178" s="108"/>
      <c r="Z178" s="109"/>
      <c r="AA178" s="37" t="s">
        <v>161</v>
      </c>
      <c r="AB178" s="17">
        <f t="shared" si="14"/>
        <v>0</v>
      </c>
      <c r="AC178" s="29">
        <v>84</v>
      </c>
      <c r="AD178" s="2">
        <f t="shared" si="12"/>
        <v>7</v>
      </c>
      <c r="AE178" s="2">
        <f t="shared" si="13"/>
        <v>0</v>
      </c>
      <c r="AG178" s="35"/>
    </row>
    <row r="179" spans="1:33" x14ac:dyDescent="0.35">
      <c r="A179" s="157">
        <v>27</v>
      </c>
      <c r="B179" s="136" t="s">
        <v>156</v>
      </c>
      <c r="C179" s="228" t="s">
        <v>157</v>
      </c>
      <c r="D179" s="169">
        <v>13</v>
      </c>
      <c r="E179" s="287"/>
      <c r="F179" s="87"/>
      <c r="G179" s="87"/>
      <c r="H179" s="87"/>
      <c r="I179" s="87"/>
      <c r="J179" s="87"/>
      <c r="K179" s="87"/>
      <c r="L179" s="87"/>
      <c r="M179" s="87"/>
      <c r="N179" s="87"/>
      <c r="O179" s="102"/>
      <c r="P179" s="102"/>
      <c r="Q179" s="102"/>
      <c r="R179" s="87"/>
      <c r="S179" s="87"/>
      <c r="T179" s="87"/>
      <c r="U179" s="87"/>
      <c r="V179" s="87"/>
      <c r="W179" s="87"/>
      <c r="X179" s="102"/>
      <c r="Y179" s="102"/>
      <c r="Z179" s="103"/>
      <c r="AA179" s="34" t="s">
        <v>158</v>
      </c>
      <c r="AB179" s="17">
        <f t="shared" si="14"/>
        <v>0</v>
      </c>
      <c r="AC179" s="29">
        <v>96</v>
      </c>
      <c r="AD179" s="2">
        <f t="shared" si="12"/>
        <v>8</v>
      </c>
      <c r="AE179" s="2">
        <f t="shared" si="13"/>
        <v>0</v>
      </c>
      <c r="AG179" s="35"/>
    </row>
    <row r="180" spans="1:33" x14ac:dyDescent="0.35">
      <c r="A180" s="159">
        <v>27</v>
      </c>
      <c r="B180" s="146" t="s">
        <v>162</v>
      </c>
      <c r="C180" s="224" t="s">
        <v>163</v>
      </c>
      <c r="D180" s="187">
        <v>13</v>
      </c>
      <c r="E180" s="290"/>
      <c r="F180" s="88"/>
      <c r="G180" s="88"/>
      <c r="H180" s="88"/>
      <c r="I180" s="88"/>
      <c r="J180" s="88"/>
      <c r="K180" s="88"/>
      <c r="L180" s="88"/>
      <c r="M180" s="88"/>
      <c r="N180" s="88"/>
      <c r="O180" s="106"/>
      <c r="P180" s="106"/>
      <c r="Q180" s="106"/>
      <c r="R180" s="88"/>
      <c r="S180" s="88"/>
      <c r="T180" s="88"/>
      <c r="U180" s="88"/>
      <c r="V180" s="88"/>
      <c r="W180" s="88"/>
      <c r="X180" s="106"/>
      <c r="Y180" s="106"/>
      <c r="Z180" s="107"/>
      <c r="AA180" s="34" t="s">
        <v>158</v>
      </c>
      <c r="AB180" s="17">
        <f t="shared" si="14"/>
        <v>0</v>
      </c>
      <c r="AC180" s="29">
        <v>96</v>
      </c>
      <c r="AD180" s="2">
        <f t="shared" si="12"/>
        <v>8</v>
      </c>
      <c r="AE180" s="2">
        <f t="shared" si="13"/>
        <v>0</v>
      </c>
      <c r="AG180" s="35"/>
    </row>
    <row r="181" spans="1:33" x14ac:dyDescent="0.35">
      <c r="A181" s="159">
        <v>27</v>
      </c>
      <c r="B181" s="146" t="s">
        <v>164</v>
      </c>
      <c r="C181" s="224" t="s">
        <v>165</v>
      </c>
      <c r="D181" s="187">
        <v>13</v>
      </c>
      <c r="E181" s="290"/>
      <c r="F181" s="88"/>
      <c r="G181" s="88"/>
      <c r="H181" s="88"/>
      <c r="I181" s="88"/>
      <c r="J181" s="88"/>
      <c r="K181" s="88"/>
      <c r="L181" s="88"/>
      <c r="M181" s="88"/>
      <c r="N181" s="88"/>
      <c r="O181" s="106"/>
      <c r="P181" s="106"/>
      <c r="Q181" s="106"/>
      <c r="R181" s="88"/>
      <c r="S181" s="88"/>
      <c r="T181" s="88"/>
      <c r="U181" s="88"/>
      <c r="V181" s="88"/>
      <c r="W181" s="88"/>
      <c r="X181" s="106"/>
      <c r="Y181" s="106"/>
      <c r="Z181" s="107"/>
      <c r="AA181" s="34" t="s">
        <v>158</v>
      </c>
      <c r="AB181" s="17">
        <f t="shared" si="14"/>
        <v>0</v>
      </c>
      <c r="AC181" s="29">
        <v>96</v>
      </c>
      <c r="AD181" s="2">
        <f t="shared" si="12"/>
        <v>8</v>
      </c>
      <c r="AE181" s="2">
        <f t="shared" si="13"/>
        <v>0</v>
      </c>
      <c r="AG181" s="35"/>
    </row>
    <row r="182" spans="1:33" x14ac:dyDescent="0.35">
      <c r="A182" s="159">
        <v>27</v>
      </c>
      <c r="B182" s="146" t="s">
        <v>166</v>
      </c>
      <c r="C182" s="224" t="s">
        <v>167</v>
      </c>
      <c r="D182" s="187">
        <v>13</v>
      </c>
      <c r="E182" s="290"/>
      <c r="F182" s="88"/>
      <c r="G182" s="88"/>
      <c r="H182" s="88"/>
      <c r="I182" s="88"/>
      <c r="J182" s="88"/>
      <c r="K182" s="88"/>
      <c r="L182" s="88"/>
      <c r="M182" s="88"/>
      <c r="N182" s="88"/>
      <c r="O182" s="106"/>
      <c r="P182" s="106"/>
      <c r="Q182" s="106"/>
      <c r="R182" s="88"/>
      <c r="S182" s="88"/>
      <c r="T182" s="88"/>
      <c r="U182" s="88"/>
      <c r="V182" s="88"/>
      <c r="W182" s="88"/>
      <c r="X182" s="106"/>
      <c r="Y182" s="106"/>
      <c r="Z182" s="107"/>
      <c r="AA182" s="34" t="s">
        <v>158</v>
      </c>
      <c r="AB182" s="17">
        <f t="shared" si="14"/>
        <v>0</v>
      </c>
      <c r="AC182" s="29">
        <v>96</v>
      </c>
      <c r="AD182" s="2">
        <f t="shared" si="12"/>
        <v>8</v>
      </c>
      <c r="AE182" s="2">
        <f t="shared" si="13"/>
        <v>0</v>
      </c>
      <c r="AG182" s="35"/>
    </row>
    <row r="183" spans="1:33" x14ac:dyDescent="0.35">
      <c r="A183" s="159">
        <v>27</v>
      </c>
      <c r="B183" s="132" t="s">
        <v>154</v>
      </c>
      <c r="C183" s="207" t="s">
        <v>155</v>
      </c>
      <c r="D183" s="171">
        <v>17</v>
      </c>
      <c r="E183" s="290"/>
      <c r="F183" s="88"/>
      <c r="G183" s="88"/>
      <c r="H183" s="88"/>
      <c r="I183" s="88"/>
      <c r="J183" s="88"/>
      <c r="K183" s="88"/>
      <c r="L183" s="88"/>
      <c r="M183" s="88"/>
      <c r="N183" s="88"/>
      <c r="O183" s="106"/>
      <c r="P183" s="106"/>
      <c r="Q183" s="106"/>
      <c r="R183" s="88"/>
      <c r="S183" s="88"/>
      <c r="T183" s="88"/>
      <c r="U183" s="88"/>
      <c r="V183" s="88"/>
      <c r="W183" s="88"/>
      <c r="X183" s="106"/>
      <c r="Y183" s="106"/>
      <c r="Z183" s="107"/>
      <c r="AA183" s="34" t="s">
        <v>300</v>
      </c>
      <c r="AB183" s="17">
        <f t="shared" si="14"/>
        <v>0</v>
      </c>
      <c r="AC183" s="29">
        <v>96</v>
      </c>
      <c r="AD183" s="2">
        <f t="shared" si="12"/>
        <v>8</v>
      </c>
      <c r="AE183" s="2">
        <f t="shared" si="13"/>
        <v>0</v>
      </c>
      <c r="AG183" s="35"/>
    </row>
    <row r="184" spans="1:33" x14ac:dyDescent="0.35">
      <c r="A184" s="159">
        <v>27</v>
      </c>
      <c r="B184" s="146" t="s">
        <v>151</v>
      </c>
      <c r="C184" s="224" t="s">
        <v>152</v>
      </c>
      <c r="D184" s="187">
        <v>17</v>
      </c>
      <c r="E184" s="290"/>
      <c r="F184" s="88"/>
      <c r="G184" s="88"/>
      <c r="H184" s="88"/>
      <c r="I184" s="88"/>
      <c r="J184" s="88"/>
      <c r="K184" s="88"/>
      <c r="L184" s="88"/>
      <c r="M184" s="88"/>
      <c r="N184" s="88"/>
      <c r="O184" s="106"/>
      <c r="P184" s="106"/>
      <c r="Q184" s="106"/>
      <c r="R184" s="88"/>
      <c r="S184" s="88"/>
      <c r="T184" s="88"/>
      <c r="U184" s="88"/>
      <c r="V184" s="88"/>
      <c r="W184" s="88"/>
      <c r="X184" s="106"/>
      <c r="Y184" s="106"/>
      <c r="Z184" s="107"/>
      <c r="AA184" s="34" t="s">
        <v>300</v>
      </c>
      <c r="AB184" s="17">
        <f t="shared" si="14"/>
        <v>0</v>
      </c>
      <c r="AC184" s="29">
        <v>96</v>
      </c>
      <c r="AD184" s="2">
        <f t="shared" si="12"/>
        <v>8</v>
      </c>
      <c r="AE184" s="2">
        <f t="shared" si="13"/>
        <v>0</v>
      </c>
      <c r="AG184" s="35"/>
    </row>
    <row r="185" spans="1:33" x14ac:dyDescent="0.35">
      <c r="A185" s="159">
        <v>27</v>
      </c>
      <c r="B185" s="142" t="s">
        <v>151</v>
      </c>
      <c r="C185" s="237" t="s">
        <v>153</v>
      </c>
      <c r="D185" s="171">
        <v>17</v>
      </c>
      <c r="E185" s="290"/>
      <c r="F185" s="88"/>
      <c r="G185" s="88"/>
      <c r="H185" s="88"/>
      <c r="I185" s="88"/>
      <c r="J185" s="88"/>
      <c r="K185" s="88"/>
      <c r="L185" s="88"/>
      <c r="M185" s="88"/>
      <c r="N185" s="88"/>
      <c r="O185" s="106"/>
      <c r="P185" s="106"/>
      <c r="Q185" s="106"/>
      <c r="R185" s="88"/>
      <c r="S185" s="88"/>
      <c r="T185" s="88"/>
      <c r="U185" s="88"/>
      <c r="V185" s="88"/>
      <c r="W185" s="88"/>
      <c r="X185" s="106"/>
      <c r="Y185" s="106"/>
      <c r="Z185" s="107"/>
      <c r="AA185" s="34" t="s">
        <v>300</v>
      </c>
      <c r="AB185" s="17">
        <f t="shared" si="14"/>
        <v>0</v>
      </c>
      <c r="AC185" s="29">
        <v>96</v>
      </c>
      <c r="AD185" s="2">
        <f t="shared" si="12"/>
        <v>8</v>
      </c>
      <c r="AE185" s="2">
        <f t="shared" si="13"/>
        <v>0</v>
      </c>
      <c r="AG185" s="35"/>
    </row>
    <row r="186" spans="1:33" x14ac:dyDescent="0.35">
      <c r="A186" s="160">
        <v>27</v>
      </c>
      <c r="B186" s="154" t="s">
        <v>159</v>
      </c>
      <c r="C186" s="236" t="s">
        <v>160</v>
      </c>
      <c r="D186" s="197">
        <v>15</v>
      </c>
      <c r="E186" s="290"/>
      <c r="F186" s="91"/>
      <c r="G186" s="91"/>
      <c r="H186" s="88"/>
      <c r="I186" s="91"/>
      <c r="J186" s="91"/>
      <c r="K186" s="91"/>
      <c r="L186" s="91"/>
      <c r="M186" s="91"/>
      <c r="N186" s="91"/>
      <c r="O186" s="108"/>
      <c r="P186" s="108"/>
      <c r="Q186" s="108"/>
      <c r="R186" s="91"/>
      <c r="S186" s="91"/>
      <c r="T186" s="91"/>
      <c r="U186" s="91"/>
      <c r="V186" s="91"/>
      <c r="W186" s="91"/>
      <c r="X186" s="108"/>
      <c r="Y186" s="108"/>
      <c r="Z186" s="109"/>
      <c r="AA186" s="37" t="s">
        <v>159</v>
      </c>
      <c r="AB186" s="17">
        <f t="shared" si="14"/>
        <v>0</v>
      </c>
      <c r="AC186" s="29">
        <v>96</v>
      </c>
      <c r="AD186" s="2">
        <f t="shared" si="12"/>
        <v>8</v>
      </c>
      <c r="AE186" s="2">
        <f t="shared" si="13"/>
        <v>0</v>
      </c>
      <c r="AG186" s="35"/>
    </row>
    <row r="187" spans="1:33" ht="15" thickBot="1" x14ac:dyDescent="0.4">
      <c r="A187" s="162">
        <v>27</v>
      </c>
      <c r="B187" s="147" t="s">
        <v>159</v>
      </c>
      <c r="C187" s="225" t="s">
        <v>109</v>
      </c>
      <c r="D187" s="188">
        <v>17</v>
      </c>
      <c r="E187" s="291"/>
      <c r="F187" s="92"/>
      <c r="G187" s="92"/>
      <c r="H187" s="92"/>
      <c r="I187" s="92"/>
      <c r="J187" s="92"/>
      <c r="K187" s="92"/>
      <c r="L187" s="92"/>
      <c r="M187" s="92"/>
      <c r="N187" s="92"/>
      <c r="O187" s="112"/>
      <c r="P187" s="112"/>
      <c r="Q187" s="112"/>
      <c r="R187" s="92"/>
      <c r="S187" s="92"/>
      <c r="T187" s="92"/>
      <c r="U187" s="92"/>
      <c r="V187" s="92"/>
      <c r="W187" s="92"/>
      <c r="X187" s="112"/>
      <c r="Y187" s="112"/>
      <c r="Z187" s="113"/>
      <c r="AA187" s="37" t="s">
        <v>159</v>
      </c>
      <c r="AB187" s="17">
        <f t="shared" si="14"/>
        <v>0</v>
      </c>
      <c r="AC187" s="29">
        <v>96</v>
      </c>
      <c r="AD187" s="2">
        <f t="shared" si="12"/>
        <v>8</v>
      </c>
      <c r="AE187" s="2">
        <f t="shared" si="13"/>
        <v>0</v>
      </c>
      <c r="AG187" s="35"/>
    </row>
    <row r="188" spans="1:33" x14ac:dyDescent="0.35">
      <c r="A188" s="157">
        <v>30</v>
      </c>
      <c r="B188" s="136" t="s">
        <v>159</v>
      </c>
      <c r="C188" s="228" t="s">
        <v>109</v>
      </c>
      <c r="D188" s="169">
        <v>15</v>
      </c>
      <c r="E188" s="292"/>
      <c r="F188" s="87"/>
      <c r="G188" s="87"/>
      <c r="H188" s="87"/>
      <c r="I188" s="87"/>
      <c r="J188" s="87"/>
      <c r="K188" s="87"/>
      <c r="L188" s="87"/>
      <c r="M188" s="87"/>
      <c r="N188" s="87"/>
      <c r="O188" s="102"/>
      <c r="P188" s="102"/>
      <c r="Q188" s="102"/>
      <c r="R188" s="87"/>
      <c r="S188" s="87"/>
      <c r="T188" s="87"/>
      <c r="U188" s="87"/>
      <c r="V188" s="87"/>
      <c r="W188" s="87"/>
      <c r="X188" s="102"/>
      <c r="Y188" s="102"/>
      <c r="Z188" s="103"/>
      <c r="AA188" s="37" t="s">
        <v>159</v>
      </c>
      <c r="AB188" s="17">
        <f t="shared" si="14"/>
        <v>0</v>
      </c>
      <c r="AC188" s="29">
        <v>96</v>
      </c>
      <c r="AD188" s="2">
        <f t="shared" si="12"/>
        <v>8</v>
      </c>
      <c r="AE188" s="2">
        <f t="shared" si="13"/>
        <v>0</v>
      </c>
      <c r="AG188" s="35"/>
    </row>
    <row r="189" spans="1:33" ht="15" thickBot="1" x14ac:dyDescent="0.4">
      <c r="A189" s="162">
        <v>30</v>
      </c>
      <c r="B189" s="147" t="s">
        <v>159</v>
      </c>
      <c r="C189" s="225" t="s">
        <v>160</v>
      </c>
      <c r="D189" s="188">
        <v>15</v>
      </c>
      <c r="E189" s="291"/>
      <c r="F189" s="92"/>
      <c r="G189" s="92"/>
      <c r="H189" s="92"/>
      <c r="I189" s="92"/>
      <c r="J189" s="92"/>
      <c r="K189" s="92"/>
      <c r="L189" s="92"/>
      <c r="M189" s="92"/>
      <c r="N189" s="92"/>
      <c r="O189" s="112"/>
      <c r="P189" s="112"/>
      <c r="Q189" s="112"/>
      <c r="R189" s="92"/>
      <c r="S189" s="92"/>
      <c r="T189" s="92"/>
      <c r="U189" s="92"/>
      <c r="V189" s="92"/>
      <c r="W189" s="92"/>
      <c r="X189" s="112"/>
      <c r="Y189" s="112"/>
      <c r="Z189" s="113"/>
      <c r="AA189" s="37" t="s">
        <v>159</v>
      </c>
      <c r="AB189" s="17">
        <f t="shared" si="14"/>
        <v>0</v>
      </c>
      <c r="AC189" s="29">
        <v>96</v>
      </c>
      <c r="AD189" s="2">
        <f t="shared" si="12"/>
        <v>8</v>
      </c>
      <c r="AE189" s="2">
        <f t="shared" si="13"/>
        <v>0</v>
      </c>
      <c r="AG189" s="35"/>
    </row>
    <row r="190" spans="1:33" x14ac:dyDescent="0.35">
      <c r="A190" s="157">
        <v>31</v>
      </c>
      <c r="B190" s="155" t="s">
        <v>159</v>
      </c>
      <c r="C190" s="238" t="s">
        <v>109</v>
      </c>
      <c r="D190" s="198">
        <v>15</v>
      </c>
      <c r="E190" s="296"/>
      <c r="F190" s="93"/>
      <c r="G190" s="93"/>
      <c r="H190" s="93"/>
      <c r="I190" s="93"/>
      <c r="J190" s="93"/>
      <c r="K190" s="93"/>
      <c r="L190" s="93"/>
      <c r="M190" s="93"/>
      <c r="N190" s="93"/>
      <c r="O190" s="114"/>
      <c r="P190" s="114"/>
      <c r="Q190" s="114"/>
      <c r="R190" s="93"/>
      <c r="S190" s="93"/>
      <c r="T190" s="93"/>
      <c r="U190" s="93"/>
      <c r="V190" s="93"/>
      <c r="W190" s="93"/>
      <c r="X190" s="114"/>
      <c r="Y190" s="114"/>
      <c r="Z190" s="115"/>
      <c r="AA190" s="37" t="s">
        <v>159</v>
      </c>
      <c r="AB190" s="17">
        <f t="shared" si="14"/>
        <v>0</v>
      </c>
      <c r="AC190" s="29">
        <v>96</v>
      </c>
      <c r="AD190" s="2">
        <f t="shared" si="12"/>
        <v>8</v>
      </c>
      <c r="AE190" s="2">
        <f t="shared" si="13"/>
        <v>0</v>
      </c>
      <c r="AG190" s="35"/>
    </row>
    <row r="191" spans="1:33" ht="15" thickBot="1" x14ac:dyDescent="0.4">
      <c r="A191" s="160">
        <v>31</v>
      </c>
      <c r="B191" s="154" t="s">
        <v>530</v>
      </c>
      <c r="C191" s="236" t="s">
        <v>55</v>
      </c>
      <c r="D191" s="197">
        <v>16</v>
      </c>
      <c r="E191" s="297"/>
      <c r="F191" s="91"/>
      <c r="G191" s="91"/>
      <c r="H191" s="91"/>
      <c r="I191" s="91"/>
      <c r="J191" s="91"/>
      <c r="K191" s="91"/>
      <c r="L191" s="91"/>
      <c r="M191" s="91"/>
      <c r="N191" s="91"/>
      <c r="O191" s="108"/>
      <c r="P191" s="108"/>
      <c r="Q191" s="108"/>
      <c r="R191" s="91"/>
      <c r="S191" s="91"/>
      <c r="T191" s="91"/>
      <c r="U191" s="91"/>
      <c r="V191" s="91"/>
      <c r="W191" s="91"/>
      <c r="X191" s="108"/>
      <c r="Y191" s="108"/>
      <c r="Z191" s="109"/>
      <c r="AA191" s="34" t="s">
        <v>53</v>
      </c>
      <c r="AB191" s="17">
        <f t="shared" si="14"/>
        <v>0</v>
      </c>
      <c r="AC191" s="29">
        <v>96</v>
      </c>
      <c r="AD191" s="2">
        <f t="shared" ref="AD191:AD258" si="22">AC191/12</f>
        <v>8</v>
      </c>
      <c r="AE191" s="2">
        <f t="shared" ref="AE191:AE258" si="23">ROUND(IFERROR(AB191/D191,0),)</f>
        <v>0</v>
      </c>
      <c r="AG191" s="35"/>
    </row>
    <row r="192" spans="1:33" ht="13.15" customHeight="1" x14ac:dyDescent="0.35">
      <c r="A192" s="157">
        <v>32</v>
      </c>
      <c r="B192" s="136" t="s">
        <v>14</v>
      </c>
      <c r="C192" s="228" t="s">
        <v>270</v>
      </c>
      <c r="D192" s="169">
        <v>16</v>
      </c>
      <c r="E192" s="292"/>
      <c r="F192" s="87"/>
      <c r="G192" s="87"/>
      <c r="H192" s="87" t="s">
        <v>379</v>
      </c>
      <c r="I192" s="87"/>
      <c r="J192" s="87"/>
      <c r="K192" s="87"/>
      <c r="L192" s="87"/>
      <c r="M192" s="87"/>
      <c r="N192" s="87"/>
      <c r="O192" s="102"/>
      <c r="P192" s="102"/>
      <c r="Q192" s="102"/>
      <c r="R192" s="87"/>
      <c r="S192" s="87"/>
      <c r="T192" s="87"/>
      <c r="U192" s="87"/>
      <c r="V192" s="87"/>
      <c r="W192" s="87"/>
      <c r="X192" s="102"/>
      <c r="Y192" s="102"/>
      <c r="Z192" s="103"/>
      <c r="AA192" s="34" t="s">
        <v>14</v>
      </c>
      <c r="AB192" s="17">
        <f t="shared" si="14"/>
        <v>0</v>
      </c>
      <c r="AC192" s="29">
        <v>84</v>
      </c>
      <c r="AD192" s="2">
        <f t="shared" si="22"/>
        <v>7</v>
      </c>
      <c r="AE192" s="2">
        <f t="shared" si="23"/>
        <v>0</v>
      </c>
      <c r="AG192" s="35"/>
    </row>
    <row r="193" spans="1:33" ht="13.15" customHeight="1" x14ac:dyDescent="0.35">
      <c r="A193" s="158">
        <v>32</v>
      </c>
      <c r="B193" s="134" t="s">
        <v>14</v>
      </c>
      <c r="C193" s="209" t="s">
        <v>272</v>
      </c>
      <c r="D193" s="170">
        <v>16</v>
      </c>
      <c r="E193" s="290"/>
      <c r="F193" s="89"/>
      <c r="G193" s="89"/>
      <c r="H193" s="89"/>
      <c r="I193" s="89"/>
      <c r="J193" s="89"/>
      <c r="K193" s="89"/>
      <c r="L193" s="89"/>
      <c r="M193" s="89"/>
      <c r="N193" s="89"/>
      <c r="O193" s="104"/>
      <c r="P193" s="104"/>
      <c r="Q193" s="104"/>
      <c r="R193" s="89"/>
      <c r="S193" s="89"/>
      <c r="T193" s="89"/>
      <c r="U193" s="89"/>
      <c r="V193" s="89"/>
      <c r="W193" s="89"/>
      <c r="X193" s="104"/>
      <c r="Y193" s="104"/>
      <c r="Z193" s="105"/>
      <c r="AA193" s="34" t="s">
        <v>14</v>
      </c>
      <c r="AB193" s="17">
        <f t="shared" si="14"/>
        <v>0</v>
      </c>
      <c r="AC193" s="29">
        <v>84</v>
      </c>
      <c r="AD193" s="2">
        <f t="shared" si="22"/>
        <v>7</v>
      </c>
      <c r="AE193" s="2">
        <f t="shared" si="23"/>
        <v>0</v>
      </c>
      <c r="AG193" s="35"/>
    </row>
    <row r="194" spans="1:33" ht="13.15" customHeight="1" x14ac:dyDescent="0.35">
      <c r="A194" s="159">
        <v>32</v>
      </c>
      <c r="B194" s="146" t="s">
        <v>168</v>
      </c>
      <c r="C194" s="224" t="s">
        <v>23</v>
      </c>
      <c r="D194" s="187">
        <v>17</v>
      </c>
      <c r="E194" s="290"/>
      <c r="F194" s="88"/>
      <c r="G194" s="88"/>
      <c r="H194" s="88"/>
      <c r="I194" s="88"/>
      <c r="J194" s="88"/>
      <c r="K194" s="88"/>
      <c r="L194" s="88"/>
      <c r="M194" s="88"/>
      <c r="N194" s="88"/>
      <c r="O194" s="106"/>
      <c r="P194" s="106"/>
      <c r="Q194" s="106"/>
      <c r="R194" s="88"/>
      <c r="S194" s="88"/>
      <c r="T194" s="88"/>
      <c r="U194" s="88"/>
      <c r="V194" s="88"/>
      <c r="W194" s="88"/>
      <c r="X194" s="106"/>
      <c r="Y194" s="106"/>
      <c r="Z194" s="107"/>
      <c r="AA194" s="34" t="s">
        <v>24</v>
      </c>
      <c r="AB194" s="17">
        <f t="shared" si="14"/>
        <v>0</v>
      </c>
      <c r="AC194" s="29">
        <v>60</v>
      </c>
      <c r="AD194" s="2">
        <f t="shared" si="22"/>
        <v>5</v>
      </c>
      <c r="AE194" s="2">
        <f t="shared" si="23"/>
        <v>0</v>
      </c>
      <c r="AG194" s="35"/>
    </row>
    <row r="195" spans="1:33" ht="13.15" customHeight="1" thickBot="1" x14ac:dyDescent="0.4">
      <c r="A195" s="160">
        <v>32</v>
      </c>
      <c r="B195" s="132" t="s">
        <v>104</v>
      </c>
      <c r="C195" s="207" t="s">
        <v>105</v>
      </c>
      <c r="D195" s="171">
        <v>16</v>
      </c>
      <c r="E195" s="291"/>
      <c r="F195" s="88"/>
      <c r="G195" s="88"/>
      <c r="H195" s="88"/>
      <c r="I195" s="88"/>
      <c r="J195" s="88"/>
      <c r="K195" s="88"/>
      <c r="L195" s="88"/>
      <c r="M195" s="88"/>
      <c r="N195" s="88"/>
      <c r="O195" s="106"/>
      <c r="P195" s="106"/>
      <c r="Q195" s="106"/>
      <c r="R195" s="88"/>
      <c r="S195" s="88"/>
      <c r="T195" s="88"/>
      <c r="U195" s="88"/>
      <c r="V195" s="88"/>
      <c r="W195" s="88"/>
      <c r="X195" s="106"/>
      <c r="Y195" s="106"/>
      <c r="Z195" s="107"/>
      <c r="AA195" s="34" t="s">
        <v>104</v>
      </c>
      <c r="AB195" s="17">
        <f t="shared" si="14"/>
        <v>0</v>
      </c>
      <c r="AC195" s="29">
        <v>72</v>
      </c>
      <c r="AD195" s="2">
        <f t="shared" si="22"/>
        <v>6</v>
      </c>
      <c r="AE195" s="2">
        <f t="shared" si="23"/>
        <v>0</v>
      </c>
      <c r="AG195" s="35"/>
    </row>
    <row r="196" spans="1:33" x14ac:dyDescent="0.35">
      <c r="A196" s="157">
        <v>33</v>
      </c>
      <c r="B196" s="131" t="s">
        <v>104</v>
      </c>
      <c r="C196" s="206" t="s">
        <v>105</v>
      </c>
      <c r="D196" s="172">
        <v>16</v>
      </c>
      <c r="E196" s="287"/>
      <c r="F196" s="87"/>
      <c r="G196" s="87"/>
      <c r="H196" s="87"/>
      <c r="I196" s="87"/>
      <c r="J196" s="87"/>
      <c r="K196" s="87"/>
      <c r="L196" s="87"/>
      <c r="M196" s="87"/>
      <c r="N196" s="87"/>
      <c r="O196" s="102"/>
      <c r="P196" s="102"/>
      <c r="Q196" s="102"/>
      <c r="R196" s="87"/>
      <c r="S196" s="87"/>
      <c r="T196" s="87"/>
      <c r="U196" s="87"/>
      <c r="V196" s="87"/>
      <c r="W196" s="87"/>
      <c r="X196" s="102"/>
      <c r="Y196" s="102"/>
      <c r="Z196" s="103"/>
      <c r="AA196" s="37" t="s">
        <v>104</v>
      </c>
      <c r="AB196" s="17">
        <f t="shared" ref="AB196:AB263" si="24">SUM(F196:Z196)</f>
        <v>0</v>
      </c>
      <c r="AC196" s="29">
        <v>72</v>
      </c>
      <c r="AD196" s="2">
        <f t="shared" si="22"/>
        <v>6</v>
      </c>
      <c r="AE196" s="2">
        <f t="shared" si="23"/>
        <v>0</v>
      </c>
      <c r="AG196" s="35"/>
    </row>
    <row r="197" spans="1:33" ht="15" thickBot="1" x14ac:dyDescent="0.4">
      <c r="A197" s="160">
        <v>33</v>
      </c>
      <c r="B197" s="139" t="s">
        <v>53</v>
      </c>
      <c r="C197" s="232" t="s">
        <v>55</v>
      </c>
      <c r="D197" s="179">
        <v>16</v>
      </c>
      <c r="E197" s="289"/>
      <c r="F197" s="91"/>
      <c r="G197" s="91"/>
      <c r="H197" s="91"/>
      <c r="I197" s="92"/>
      <c r="J197" s="92"/>
      <c r="K197" s="92"/>
      <c r="L197" s="92"/>
      <c r="M197" s="92"/>
      <c r="N197" s="92"/>
      <c r="O197" s="112"/>
      <c r="P197" s="112"/>
      <c r="Q197" s="112"/>
      <c r="R197" s="92"/>
      <c r="S197" s="92"/>
      <c r="T197" s="92"/>
      <c r="U197" s="92"/>
      <c r="V197" s="92"/>
      <c r="W197" s="92"/>
      <c r="X197" s="108"/>
      <c r="Y197" s="108"/>
      <c r="Z197" s="109"/>
      <c r="AA197" s="34" t="s">
        <v>53</v>
      </c>
      <c r="AB197" s="17">
        <f t="shared" si="24"/>
        <v>0</v>
      </c>
      <c r="AC197" s="29">
        <v>96</v>
      </c>
      <c r="AD197" s="2">
        <f t="shared" si="22"/>
        <v>8</v>
      </c>
      <c r="AE197" s="2">
        <f t="shared" si="23"/>
        <v>0</v>
      </c>
      <c r="AG197" s="35"/>
    </row>
    <row r="198" spans="1:33" x14ac:dyDescent="0.35">
      <c r="A198" s="157">
        <v>34</v>
      </c>
      <c r="B198" s="155" t="s">
        <v>496</v>
      </c>
      <c r="C198" s="238" t="s">
        <v>179</v>
      </c>
      <c r="D198" s="199">
        <v>11</v>
      </c>
      <c r="E198" s="287"/>
      <c r="F198" s="87"/>
      <c r="G198" s="87"/>
      <c r="H198" s="87"/>
      <c r="I198" s="87"/>
      <c r="J198" s="87"/>
      <c r="K198" s="87"/>
      <c r="L198" s="87"/>
      <c r="M198" s="87"/>
      <c r="N198" s="87"/>
      <c r="O198" s="102"/>
      <c r="P198" s="102"/>
      <c r="Q198" s="102"/>
      <c r="R198" s="87"/>
      <c r="S198" s="87"/>
      <c r="T198" s="87"/>
      <c r="U198" s="87"/>
      <c r="V198" s="87"/>
      <c r="W198" s="87"/>
      <c r="X198" s="102"/>
      <c r="Y198" s="102"/>
      <c r="Z198" s="103"/>
      <c r="AA198" s="34" t="s">
        <v>170</v>
      </c>
      <c r="AB198" s="17">
        <f t="shared" si="24"/>
        <v>0</v>
      </c>
      <c r="AC198" s="29">
        <v>60</v>
      </c>
      <c r="AD198" s="2">
        <f t="shared" si="22"/>
        <v>5</v>
      </c>
      <c r="AE198" s="2">
        <f t="shared" si="23"/>
        <v>0</v>
      </c>
      <c r="AG198" s="35"/>
    </row>
    <row r="199" spans="1:33" x14ac:dyDescent="0.35">
      <c r="A199" s="159">
        <v>34</v>
      </c>
      <c r="B199" s="135" t="s">
        <v>516</v>
      </c>
      <c r="C199" s="210" t="s">
        <v>398</v>
      </c>
      <c r="D199" s="175">
        <v>11</v>
      </c>
      <c r="E199" s="288"/>
      <c r="F199" s="88"/>
      <c r="G199" s="88">
        <v>10</v>
      </c>
      <c r="H199" s="88"/>
      <c r="I199" s="88"/>
      <c r="J199" s="88"/>
      <c r="K199" s="88"/>
      <c r="L199" s="88"/>
      <c r="M199" s="88"/>
      <c r="N199" s="88"/>
      <c r="O199" s="106"/>
      <c r="P199" s="106"/>
      <c r="Q199" s="106"/>
      <c r="R199" s="88"/>
      <c r="S199" s="88"/>
      <c r="T199" s="88"/>
      <c r="U199" s="88"/>
      <c r="V199" s="88"/>
      <c r="W199" s="88"/>
      <c r="X199" s="106"/>
      <c r="Y199" s="106"/>
      <c r="Z199" s="107"/>
      <c r="AA199" s="34" t="s">
        <v>170</v>
      </c>
      <c r="AB199" s="17">
        <f t="shared" si="24"/>
        <v>10</v>
      </c>
      <c r="AC199" s="29">
        <v>60</v>
      </c>
      <c r="AD199" s="2">
        <f t="shared" si="22"/>
        <v>5</v>
      </c>
      <c r="AE199" s="2">
        <f t="shared" si="23"/>
        <v>1</v>
      </c>
      <c r="AG199" s="35"/>
    </row>
    <row r="200" spans="1:33" x14ac:dyDescent="0.35">
      <c r="A200" s="159">
        <v>34</v>
      </c>
      <c r="B200" s="135" t="s">
        <v>517</v>
      </c>
      <c r="C200" s="210" t="s">
        <v>399</v>
      </c>
      <c r="D200" s="175">
        <v>11</v>
      </c>
      <c r="E200" s="288"/>
      <c r="F200" s="88"/>
      <c r="G200" s="88"/>
      <c r="H200" s="88"/>
      <c r="I200" s="88"/>
      <c r="J200" s="88"/>
      <c r="K200" s="88"/>
      <c r="L200" s="88"/>
      <c r="M200" s="88"/>
      <c r="N200" s="88"/>
      <c r="O200" s="106"/>
      <c r="P200" s="106"/>
      <c r="Q200" s="106"/>
      <c r="R200" s="88"/>
      <c r="S200" s="88"/>
      <c r="T200" s="88"/>
      <c r="U200" s="88"/>
      <c r="V200" s="88"/>
      <c r="W200" s="88"/>
      <c r="X200" s="106"/>
      <c r="Y200" s="106"/>
      <c r="Z200" s="107"/>
      <c r="AA200" s="34" t="s">
        <v>170</v>
      </c>
      <c r="AB200" s="17">
        <f t="shared" si="24"/>
        <v>0</v>
      </c>
      <c r="AC200" s="29">
        <v>60</v>
      </c>
      <c r="AD200" s="2">
        <f t="shared" si="22"/>
        <v>5</v>
      </c>
      <c r="AE200" s="2">
        <f t="shared" si="23"/>
        <v>0</v>
      </c>
      <c r="AG200" s="35"/>
    </row>
    <row r="201" spans="1:33" x14ac:dyDescent="0.35">
      <c r="A201" s="159">
        <v>34</v>
      </c>
      <c r="B201" s="146" t="s">
        <v>495</v>
      </c>
      <c r="C201" s="224" t="s">
        <v>180</v>
      </c>
      <c r="D201" s="187">
        <v>11</v>
      </c>
      <c r="E201" s="288"/>
      <c r="F201" s="88"/>
      <c r="G201" s="88"/>
      <c r="H201" s="88"/>
      <c r="I201" s="88"/>
      <c r="J201" s="88"/>
      <c r="K201" s="88"/>
      <c r="L201" s="88"/>
      <c r="M201" s="88"/>
      <c r="N201" s="88"/>
      <c r="O201" s="106"/>
      <c r="P201" s="106"/>
      <c r="Q201" s="106"/>
      <c r="R201" s="88"/>
      <c r="S201" s="88"/>
      <c r="T201" s="88"/>
      <c r="U201" s="88"/>
      <c r="V201" s="88"/>
      <c r="W201" s="88"/>
      <c r="X201" s="106"/>
      <c r="Y201" s="106"/>
      <c r="Z201" s="107"/>
      <c r="AA201" s="34" t="s">
        <v>170</v>
      </c>
      <c r="AB201" s="17">
        <f t="shared" si="24"/>
        <v>0</v>
      </c>
      <c r="AC201" s="29">
        <v>60</v>
      </c>
      <c r="AD201" s="2">
        <f t="shared" si="22"/>
        <v>5</v>
      </c>
      <c r="AE201" s="2">
        <f t="shared" si="23"/>
        <v>0</v>
      </c>
      <c r="AG201" s="35"/>
    </row>
    <row r="202" spans="1:33" x14ac:dyDescent="0.35">
      <c r="A202" s="159">
        <v>34</v>
      </c>
      <c r="B202" s="135" t="s">
        <v>494</v>
      </c>
      <c r="C202" s="210" t="s">
        <v>171</v>
      </c>
      <c r="D202" s="175">
        <v>11</v>
      </c>
      <c r="E202" s="288"/>
      <c r="F202" s="88"/>
      <c r="G202" s="88"/>
      <c r="H202" s="88"/>
      <c r="I202" s="88"/>
      <c r="J202" s="88"/>
      <c r="K202" s="88"/>
      <c r="L202" s="88"/>
      <c r="M202" s="88"/>
      <c r="N202" s="88"/>
      <c r="O202" s="106"/>
      <c r="P202" s="106"/>
      <c r="Q202" s="106"/>
      <c r="R202" s="88"/>
      <c r="S202" s="88"/>
      <c r="T202" s="88"/>
      <c r="U202" s="88"/>
      <c r="V202" s="88"/>
      <c r="W202" s="88"/>
      <c r="X202" s="106"/>
      <c r="Y202" s="106"/>
      <c r="Z202" s="107"/>
      <c r="AA202" s="34" t="s">
        <v>170</v>
      </c>
      <c r="AB202" s="17">
        <f t="shared" si="24"/>
        <v>0</v>
      </c>
      <c r="AC202" s="29">
        <v>60</v>
      </c>
      <c r="AD202" s="2">
        <f t="shared" si="22"/>
        <v>5</v>
      </c>
      <c r="AE202" s="2">
        <f t="shared" si="23"/>
        <v>0</v>
      </c>
      <c r="AG202" s="35"/>
    </row>
    <row r="203" spans="1:33" x14ac:dyDescent="0.35">
      <c r="A203" s="159">
        <v>34</v>
      </c>
      <c r="B203" s="135" t="s">
        <v>494</v>
      </c>
      <c r="C203" s="210" t="s">
        <v>176</v>
      </c>
      <c r="D203" s="175">
        <v>11</v>
      </c>
      <c r="E203" s="288"/>
      <c r="F203" s="88"/>
      <c r="G203" s="88"/>
      <c r="H203" s="88"/>
      <c r="I203" s="88"/>
      <c r="J203" s="88"/>
      <c r="K203" s="88"/>
      <c r="L203" s="88"/>
      <c r="M203" s="88"/>
      <c r="N203" s="88"/>
      <c r="O203" s="106"/>
      <c r="P203" s="106"/>
      <c r="Q203" s="106"/>
      <c r="R203" s="88"/>
      <c r="S203" s="88"/>
      <c r="T203" s="88"/>
      <c r="U203" s="88"/>
      <c r="V203" s="88"/>
      <c r="W203" s="88"/>
      <c r="X203" s="106"/>
      <c r="Y203" s="106"/>
      <c r="Z203" s="107"/>
      <c r="AA203" s="34" t="s">
        <v>170</v>
      </c>
      <c r="AB203" s="17">
        <f t="shared" si="24"/>
        <v>0</v>
      </c>
      <c r="AC203" s="29">
        <v>60</v>
      </c>
      <c r="AD203" s="2">
        <f t="shared" si="22"/>
        <v>5</v>
      </c>
      <c r="AE203" s="2">
        <f t="shared" si="23"/>
        <v>0</v>
      </c>
      <c r="AG203" s="35"/>
    </row>
    <row r="204" spans="1:33" x14ac:dyDescent="0.35">
      <c r="A204" s="159">
        <v>34</v>
      </c>
      <c r="B204" s="135" t="s">
        <v>493</v>
      </c>
      <c r="C204" s="210" t="s">
        <v>173</v>
      </c>
      <c r="D204" s="175">
        <v>11</v>
      </c>
      <c r="E204" s="288"/>
      <c r="F204" s="88"/>
      <c r="G204" s="88"/>
      <c r="H204" s="88"/>
      <c r="I204" s="88"/>
      <c r="J204" s="88"/>
      <c r="K204" s="88"/>
      <c r="L204" s="88"/>
      <c r="M204" s="88"/>
      <c r="N204" s="88"/>
      <c r="O204" s="106"/>
      <c r="P204" s="106"/>
      <c r="Q204" s="106"/>
      <c r="R204" s="88"/>
      <c r="S204" s="88"/>
      <c r="T204" s="88"/>
      <c r="U204" s="88"/>
      <c r="V204" s="88"/>
      <c r="W204" s="88"/>
      <c r="X204" s="106"/>
      <c r="Y204" s="106"/>
      <c r="Z204" s="107"/>
      <c r="AA204" s="34" t="s">
        <v>170</v>
      </c>
      <c r="AB204" s="17">
        <f t="shared" si="24"/>
        <v>0</v>
      </c>
      <c r="AC204" s="29">
        <v>60</v>
      </c>
      <c r="AD204" s="2">
        <f t="shared" si="22"/>
        <v>5</v>
      </c>
      <c r="AE204" s="2">
        <f t="shared" si="23"/>
        <v>0</v>
      </c>
      <c r="AG204" s="35"/>
    </row>
    <row r="205" spans="1:33" x14ac:dyDescent="0.35">
      <c r="A205" s="159">
        <v>34</v>
      </c>
      <c r="B205" s="135" t="s">
        <v>493</v>
      </c>
      <c r="C205" s="210" t="s">
        <v>518</v>
      </c>
      <c r="D205" s="175">
        <v>11</v>
      </c>
      <c r="E205" s="288"/>
      <c r="F205" s="88">
        <v>5</v>
      </c>
      <c r="G205" s="88"/>
      <c r="H205" s="88"/>
      <c r="I205" s="88"/>
      <c r="J205" s="88"/>
      <c r="K205" s="88"/>
      <c r="L205" s="88"/>
      <c r="M205" s="88"/>
      <c r="N205" s="88"/>
      <c r="O205" s="106"/>
      <c r="P205" s="106"/>
      <c r="Q205" s="106"/>
      <c r="R205" s="88"/>
      <c r="S205" s="88"/>
      <c r="T205" s="88"/>
      <c r="U205" s="88"/>
      <c r="V205" s="88"/>
      <c r="W205" s="88"/>
      <c r="X205" s="106"/>
      <c r="Y205" s="106"/>
      <c r="Z205" s="107"/>
      <c r="AA205" s="34" t="s">
        <v>170</v>
      </c>
      <c r="AB205" s="17">
        <f t="shared" si="24"/>
        <v>5</v>
      </c>
      <c r="AC205" s="29">
        <v>60</v>
      </c>
      <c r="AD205" s="2">
        <f t="shared" si="22"/>
        <v>5</v>
      </c>
      <c r="AE205" s="2">
        <f t="shared" si="23"/>
        <v>0</v>
      </c>
      <c r="AG205" s="35"/>
    </row>
    <row r="206" spans="1:33" x14ac:dyDescent="0.35">
      <c r="A206" s="159">
        <v>34</v>
      </c>
      <c r="B206" s="135" t="s">
        <v>492</v>
      </c>
      <c r="C206" s="210" t="s">
        <v>174</v>
      </c>
      <c r="D206" s="175">
        <v>11</v>
      </c>
      <c r="E206" s="288"/>
      <c r="F206" s="88"/>
      <c r="G206" s="88"/>
      <c r="H206" s="88"/>
      <c r="I206" s="88"/>
      <c r="J206" s="88"/>
      <c r="K206" s="88"/>
      <c r="L206" s="88"/>
      <c r="M206" s="88"/>
      <c r="N206" s="88"/>
      <c r="O206" s="106"/>
      <c r="P206" s="106"/>
      <c r="Q206" s="106"/>
      <c r="R206" s="88"/>
      <c r="S206" s="88"/>
      <c r="T206" s="88"/>
      <c r="U206" s="88"/>
      <c r="V206" s="88"/>
      <c r="W206" s="88"/>
      <c r="X206" s="106"/>
      <c r="Y206" s="106"/>
      <c r="Z206" s="107"/>
      <c r="AA206" s="34" t="s">
        <v>170</v>
      </c>
      <c r="AB206" s="17">
        <f t="shared" si="24"/>
        <v>0</v>
      </c>
      <c r="AC206" s="29">
        <v>60</v>
      </c>
      <c r="AD206" s="2">
        <f t="shared" si="22"/>
        <v>5</v>
      </c>
      <c r="AE206" s="2">
        <f t="shared" si="23"/>
        <v>0</v>
      </c>
      <c r="AG206" s="35"/>
    </row>
    <row r="207" spans="1:33" x14ac:dyDescent="0.35">
      <c r="A207" s="159">
        <v>34</v>
      </c>
      <c r="B207" s="135" t="s">
        <v>492</v>
      </c>
      <c r="C207" s="210" t="s">
        <v>178</v>
      </c>
      <c r="D207" s="175">
        <v>11</v>
      </c>
      <c r="E207" s="288"/>
      <c r="F207" s="88"/>
      <c r="G207" s="88"/>
      <c r="H207" s="88"/>
      <c r="I207" s="88"/>
      <c r="J207" s="88"/>
      <c r="K207" s="88"/>
      <c r="L207" s="88"/>
      <c r="M207" s="88"/>
      <c r="N207" s="88"/>
      <c r="O207" s="106"/>
      <c r="P207" s="106"/>
      <c r="Q207" s="106"/>
      <c r="R207" s="88"/>
      <c r="S207" s="88"/>
      <c r="T207" s="88"/>
      <c r="U207" s="88"/>
      <c r="V207" s="88"/>
      <c r="W207" s="88"/>
      <c r="X207" s="106"/>
      <c r="Y207" s="106"/>
      <c r="Z207" s="107"/>
      <c r="AA207" s="34" t="s">
        <v>170</v>
      </c>
      <c r="AB207" s="17">
        <f t="shared" si="24"/>
        <v>0</v>
      </c>
      <c r="AC207" s="29">
        <v>60</v>
      </c>
      <c r="AD207" s="2">
        <f t="shared" si="22"/>
        <v>5</v>
      </c>
      <c r="AE207" s="2">
        <f t="shared" si="23"/>
        <v>0</v>
      </c>
      <c r="AG207" s="35"/>
    </row>
    <row r="208" spans="1:33" x14ac:dyDescent="0.35">
      <c r="A208" s="159">
        <v>34</v>
      </c>
      <c r="B208" s="135" t="s">
        <v>490</v>
      </c>
      <c r="C208" s="210" t="s">
        <v>169</v>
      </c>
      <c r="D208" s="175">
        <v>11</v>
      </c>
      <c r="E208" s="288"/>
      <c r="F208" s="88"/>
      <c r="G208" s="88"/>
      <c r="H208" s="88"/>
      <c r="I208" s="88"/>
      <c r="J208" s="88"/>
      <c r="K208" s="88"/>
      <c r="L208" s="88"/>
      <c r="M208" s="88"/>
      <c r="N208" s="88"/>
      <c r="O208" s="106"/>
      <c r="P208" s="106"/>
      <c r="Q208" s="106"/>
      <c r="R208" s="88"/>
      <c r="S208" s="88"/>
      <c r="T208" s="88"/>
      <c r="U208" s="88"/>
      <c r="V208" s="88"/>
      <c r="W208" s="88"/>
      <c r="X208" s="106"/>
      <c r="Y208" s="106"/>
      <c r="Z208" s="107"/>
      <c r="AA208" s="34" t="s">
        <v>170</v>
      </c>
      <c r="AB208" s="17">
        <f t="shared" si="24"/>
        <v>0</v>
      </c>
      <c r="AC208" s="29">
        <v>60</v>
      </c>
      <c r="AD208" s="2">
        <f t="shared" si="22"/>
        <v>5</v>
      </c>
      <c r="AE208" s="2">
        <f t="shared" si="23"/>
        <v>0</v>
      </c>
      <c r="AG208" s="35"/>
    </row>
    <row r="209" spans="1:33" x14ac:dyDescent="0.35">
      <c r="A209" s="159">
        <v>34</v>
      </c>
      <c r="B209" s="135" t="s">
        <v>490</v>
      </c>
      <c r="C209" s="210" t="s">
        <v>175</v>
      </c>
      <c r="D209" s="175">
        <v>11</v>
      </c>
      <c r="E209" s="288"/>
      <c r="F209" s="88"/>
      <c r="G209" s="88"/>
      <c r="H209" s="88"/>
      <c r="I209" s="88"/>
      <c r="J209" s="88"/>
      <c r="K209" s="88"/>
      <c r="L209" s="88"/>
      <c r="M209" s="88"/>
      <c r="N209" s="88"/>
      <c r="O209" s="106"/>
      <c r="P209" s="106"/>
      <c r="Q209" s="106"/>
      <c r="R209" s="88"/>
      <c r="S209" s="88"/>
      <c r="T209" s="88"/>
      <c r="U209" s="88"/>
      <c r="V209" s="88"/>
      <c r="W209" s="88"/>
      <c r="X209" s="106"/>
      <c r="Y209" s="106"/>
      <c r="Z209" s="107"/>
      <c r="AA209" s="34" t="s">
        <v>170</v>
      </c>
      <c r="AB209" s="17">
        <f t="shared" si="24"/>
        <v>0</v>
      </c>
      <c r="AC209" s="29">
        <v>60</v>
      </c>
      <c r="AD209" s="2">
        <f t="shared" si="22"/>
        <v>5</v>
      </c>
      <c r="AE209" s="2">
        <f t="shared" si="23"/>
        <v>0</v>
      </c>
      <c r="AG209" s="35"/>
    </row>
    <row r="210" spans="1:33" x14ac:dyDescent="0.35">
      <c r="A210" s="159">
        <v>34</v>
      </c>
      <c r="B210" s="135" t="s">
        <v>184</v>
      </c>
      <c r="C210" s="210" t="s">
        <v>372</v>
      </c>
      <c r="D210" s="175">
        <v>11</v>
      </c>
      <c r="E210" s="288"/>
      <c r="F210" s="88"/>
      <c r="G210" s="88"/>
      <c r="H210" s="88"/>
      <c r="I210" s="88"/>
      <c r="J210" s="88"/>
      <c r="K210" s="88"/>
      <c r="L210" s="88"/>
      <c r="M210" s="88"/>
      <c r="N210" s="88"/>
      <c r="O210" s="106"/>
      <c r="P210" s="106"/>
      <c r="Q210" s="106"/>
      <c r="R210" s="88"/>
      <c r="S210" s="88"/>
      <c r="T210" s="88"/>
      <c r="U210" s="88"/>
      <c r="V210" s="88"/>
      <c r="W210" s="88"/>
      <c r="X210" s="106"/>
      <c r="Y210" s="106"/>
      <c r="Z210" s="107"/>
      <c r="AA210" s="34" t="s">
        <v>170</v>
      </c>
      <c r="AB210" s="17">
        <f t="shared" si="24"/>
        <v>0</v>
      </c>
      <c r="AC210" s="29">
        <v>60</v>
      </c>
      <c r="AD210" s="2">
        <f t="shared" si="22"/>
        <v>5</v>
      </c>
      <c r="AE210" s="2">
        <f t="shared" si="23"/>
        <v>0</v>
      </c>
      <c r="AG210" s="35"/>
    </row>
    <row r="211" spans="1:33" x14ac:dyDescent="0.35">
      <c r="A211" s="159">
        <v>34</v>
      </c>
      <c r="B211" s="135" t="s">
        <v>182</v>
      </c>
      <c r="C211" s="210" t="s">
        <v>369</v>
      </c>
      <c r="D211" s="175">
        <v>11</v>
      </c>
      <c r="E211" s="288"/>
      <c r="F211" s="88">
        <v>45</v>
      </c>
      <c r="G211" s="88"/>
      <c r="H211" s="88"/>
      <c r="I211" s="88"/>
      <c r="J211" s="88"/>
      <c r="K211" s="88"/>
      <c r="L211" s="88"/>
      <c r="M211" s="88"/>
      <c r="N211" s="88"/>
      <c r="O211" s="106"/>
      <c r="P211" s="106"/>
      <c r="Q211" s="106"/>
      <c r="R211" s="88"/>
      <c r="S211" s="88"/>
      <c r="T211" s="88"/>
      <c r="U211" s="88"/>
      <c r="V211" s="88"/>
      <c r="W211" s="88"/>
      <c r="X211" s="106"/>
      <c r="Y211" s="106"/>
      <c r="Z211" s="107"/>
      <c r="AA211" s="34" t="s">
        <v>170</v>
      </c>
      <c r="AB211" s="17">
        <f t="shared" si="24"/>
        <v>45</v>
      </c>
      <c r="AC211" s="29">
        <v>60</v>
      </c>
      <c r="AD211" s="2">
        <f t="shared" si="22"/>
        <v>5</v>
      </c>
      <c r="AE211" s="2">
        <f t="shared" si="23"/>
        <v>4</v>
      </c>
      <c r="AG211" s="35"/>
    </row>
    <row r="212" spans="1:33" x14ac:dyDescent="0.35">
      <c r="A212" s="159">
        <v>34</v>
      </c>
      <c r="B212" s="135" t="s">
        <v>185</v>
      </c>
      <c r="C212" s="210" t="s">
        <v>373</v>
      </c>
      <c r="D212" s="175">
        <v>11</v>
      </c>
      <c r="E212" s="288"/>
      <c r="F212" s="88"/>
      <c r="G212" s="88"/>
      <c r="H212" s="88"/>
      <c r="I212" s="88"/>
      <c r="J212" s="88"/>
      <c r="K212" s="88"/>
      <c r="L212" s="88"/>
      <c r="M212" s="88"/>
      <c r="N212" s="88"/>
      <c r="O212" s="106"/>
      <c r="P212" s="106"/>
      <c r="Q212" s="106"/>
      <c r="R212" s="88"/>
      <c r="S212" s="88"/>
      <c r="T212" s="88"/>
      <c r="U212" s="88"/>
      <c r="V212" s="88"/>
      <c r="W212" s="88"/>
      <c r="X212" s="106"/>
      <c r="Y212" s="106"/>
      <c r="Z212" s="107"/>
      <c r="AA212" s="34" t="s">
        <v>170</v>
      </c>
      <c r="AB212" s="17">
        <f t="shared" si="24"/>
        <v>0</v>
      </c>
      <c r="AC212" s="29">
        <v>60</v>
      </c>
      <c r="AD212" s="2">
        <f t="shared" si="22"/>
        <v>5</v>
      </c>
      <c r="AE212" s="2">
        <f t="shared" si="23"/>
        <v>0</v>
      </c>
      <c r="AG212" s="35"/>
    </row>
    <row r="213" spans="1:33" x14ac:dyDescent="0.35">
      <c r="A213" s="159">
        <v>34</v>
      </c>
      <c r="B213" s="135" t="s">
        <v>181</v>
      </c>
      <c r="C213" s="210" t="s">
        <v>370</v>
      </c>
      <c r="D213" s="175">
        <v>11</v>
      </c>
      <c r="E213" s="288"/>
      <c r="F213" s="88"/>
      <c r="G213" s="88"/>
      <c r="H213" s="88"/>
      <c r="I213" s="88">
        <f>44+15</f>
        <v>59</v>
      </c>
      <c r="J213" s="88">
        <v>26</v>
      </c>
      <c r="K213" s="88"/>
      <c r="L213" s="88"/>
      <c r="M213" s="88"/>
      <c r="N213" s="88"/>
      <c r="O213" s="106"/>
      <c r="P213" s="106"/>
      <c r="Q213" s="106"/>
      <c r="R213" s="88"/>
      <c r="S213" s="91"/>
      <c r="T213" s="91"/>
      <c r="U213" s="88"/>
      <c r="V213" s="91"/>
      <c r="W213" s="91"/>
      <c r="X213" s="106"/>
      <c r="Y213" s="106"/>
      <c r="Z213" s="107"/>
      <c r="AA213" s="34" t="s">
        <v>170</v>
      </c>
      <c r="AB213" s="17">
        <f t="shared" si="24"/>
        <v>85</v>
      </c>
      <c r="AC213" s="29">
        <v>60</v>
      </c>
      <c r="AD213" s="2">
        <f t="shared" si="22"/>
        <v>5</v>
      </c>
      <c r="AE213" s="2">
        <f t="shared" si="23"/>
        <v>8</v>
      </c>
      <c r="AG213" s="35"/>
    </row>
    <row r="214" spans="1:33" x14ac:dyDescent="0.35">
      <c r="A214" s="159">
        <v>34</v>
      </c>
      <c r="B214" s="135" t="s">
        <v>183</v>
      </c>
      <c r="C214" s="210" t="s">
        <v>371</v>
      </c>
      <c r="D214" s="175">
        <v>11</v>
      </c>
      <c r="E214" s="288"/>
      <c r="F214" s="88">
        <v>30</v>
      </c>
      <c r="G214" s="88"/>
      <c r="H214" s="88"/>
      <c r="I214" s="88"/>
      <c r="J214" s="88"/>
      <c r="K214" s="88"/>
      <c r="L214" s="88"/>
      <c r="M214" s="88"/>
      <c r="N214" s="88"/>
      <c r="O214" s="106"/>
      <c r="P214" s="106"/>
      <c r="Q214" s="106"/>
      <c r="R214" s="88"/>
      <c r="S214" s="88"/>
      <c r="T214" s="88"/>
      <c r="U214" s="88"/>
      <c r="V214" s="88"/>
      <c r="W214" s="88"/>
      <c r="X214" s="106"/>
      <c r="Y214" s="106"/>
      <c r="Z214" s="107"/>
      <c r="AA214" s="34" t="s">
        <v>170</v>
      </c>
      <c r="AB214" s="17">
        <f t="shared" si="24"/>
        <v>30</v>
      </c>
      <c r="AC214" s="29">
        <v>60</v>
      </c>
      <c r="AD214" s="2">
        <f t="shared" si="22"/>
        <v>5</v>
      </c>
      <c r="AE214" s="2">
        <f t="shared" si="23"/>
        <v>3</v>
      </c>
      <c r="AG214" s="35"/>
    </row>
    <row r="215" spans="1:33" x14ac:dyDescent="0.35">
      <c r="A215" s="159">
        <v>34</v>
      </c>
      <c r="B215" s="135" t="s">
        <v>491</v>
      </c>
      <c r="C215" s="210" t="s">
        <v>172</v>
      </c>
      <c r="D215" s="175">
        <v>11</v>
      </c>
      <c r="E215" s="288"/>
      <c r="F215" s="88"/>
      <c r="G215" s="88"/>
      <c r="H215" s="88"/>
      <c r="I215" s="88"/>
      <c r="J215" s="88"/>
      <c r="K215" s="88"/>
      <c r="L215" s="88"/>
      <c r="M215" s="88"/>
      <c r="N215" s="88"/>
      <c r="O215" s="106"/>
      <c r="P215" s="106"/>
      <c r="Q215" s="106"/>
      <c r="R215" s="88"/>
      <c r="S215" s="88"/>
      <c r="T215" s="88"/>
      <c r="U215" s="88"/>
      <c r="V215" s="88"/>
      <c r="W215" s="88"/>
      <c r="X215" s="106"/>
      <c r="Y215" s="106"/>
      <c r="Z215" s="107"/>
      <c r="AA215" s="34" t="s">
        <v>170</v>
      </c>
      <c r="AB215" s="17">
        <f t="shared" si="24"/>
        <v>0</v>
      </c>
      <c r="AC215" s="29">
        <v>60</v>
      </c>
      <c r="AD215" s="2">
        <f t="shared" si="22"/>
        <v>5</v>
      </c>
      <c r="AE215" s="2">
        <f t="shared" si="23"/>
        <v>0</v>
      </c>
      <c r="AG215" s="35"/>
    </row>
    <row r="216" spans="1:33" x14ac:dyDescent="0.35">
      <c r="A216" s="160">
        <v>34</v>
      </c>
      <c r="B216" s="139" t="s">
        <v>491</v>
      </c>
      <c r="C216" s="232" t="s">
        <v>177</v>
      </c>
      <c r="D216" s="179">
        <v>11</v>
      </c>
      <c r="E216" s="288"/>
      <c r="F216" s="88"/>
      <c r="G216" s="88"/>
      <c r="H216" s="88"/>
      <c r="I216" s="88"/>
      <c r="J216" s="88"/>
      <c r="K216" s="88"/>
      <c r="L216" s="88"/>
      <c r="M216" s="88"/>
      <c r="N216" s="88"/>
      <c r="O216" s="108"/>
      <c r="P216" s="108"/>
      <c r="Q216" s="108"/>
      <c r="R216" s="91"/>
      <c r="S216" s="91"/>
      <c r="T216" s="91"/>
      <c r="U216" s="91"/>
      <c r="V216" s="91"/>
      <c r="W216" s="91"/>
      <c r="X216" s="108"/>
      <c r="Y216" s="108"/>
      <c r="Z216" s="109"/>
      <c r="AA216" s="34" t="s">
        <v>170</v>
      </c>
      <c r="AB216" s="17">
        <f t="shared" si="24"/>
        <v>0</v>
      </c>
      <c r="AC216" s="29">
        <v>60</v>
      </c>
      <c r="AD216" s="2">
        <f t="shared" si="22"/>
        <v>5</v>
      </c>
      <c r="AE216" s="2">
        <f t="shared" si="23"/>
        <v>0</v>
      </c>
      <c r="AG216" s="35"/>
    </row>
    <row r="217" spans="1:33" x14ac:dyDescent="0.35">
      <c r="A217" s="160">
        <v>34</v>
      </c>
      <c r="B217" s="139" t="s">
        <v>524</v>
      </c>
      <c r="C217" s="232" t="s">
        <v>522</v>
      </c>
      <c r="D217" s="179"/>
      <c r="E217" s="288"/>
      <c r="F217" s="88"/>
      <c r="G217" s="91"/>
      <c r="H217" s="88"/>
      <c r="I217" s="88"/>
      <c r="J217" s="88"/>
      <c r="K217" s="88"/>
      <c r="L217" s="88"/>
      <c r="M217" s="88"/>
      <c r="N217" s="88"/>
      <c r="O217" s="108"/>
      <c r="P217" s="108"/>
      <c r="Q217" s="108"/>
      <c r="R217" s="91"/>
      <c r="S217" s="91"/>
      <c r="T217" s="91"/>
      <c r="U217" s="91"/>
      <c r="V217" s="91"/>
      <c r="W217" s="91"/>
      <c r="X217" s="108"/>
      <c r="Y217" s="108"/>
      <c r="Z217" s="109"/>
      <c r="AA217" s="34" t="s">
        <v>170</v>
      </c>
      <c r="AB217" s="17">
        <f t="shared" si="24"/>
        <v>0</v>
      </c>
      <c r="AC217" s="29">
        <v>60</v>
      </c>
      <c r="AD217" s="2">
        <f t="shared" ref="AD217:AD220" si="25">AC217/12</f>
        <v>5</v>
      </c>
      <c r="AE217" s="2">
        <f t="shared" ref="AE217:AE220" si="26">ROUND(IFERROR(AB217/D217,0),)</f>
        <v>0</v>
      </c>
      <c r="AG217" s="35"/>
    </row>
    <row r="218" spans="1:33" x14ac:dyDescent="0.35">
      <c r="A218" s="160">
        <v>34</v>
      </c>
      <c r="B218" s="139" t="s">
        <v>527</v>
      </c>
      <c r="C218" s="232" t="s">
        <v>520</v>
      </c>
      <c r="D218" s="179"/>
      <c r="E218" s="288"/>
      <c r="F218" s="88"/>
      <c r="G218" s="91"/>
      <c r="H218" s="88"/>
      <c r="I218" s="88"/>
      <c r="J218" s="88"/>
      <c r="K218" s="88"/>
      <c r="L218" s="88"/>
      <c r="M218" s="91"/>
      <c r="N218" s="88"/>
      <c r="O218" s="108"/>
      <c r="P218" s="108"/>
      <c r="Q218" s="108"/>
      <c r="R218" s="91"/>
      <c r="S218" s="91"/>
      <c r="T218" s="91"/>
      <c r="U218" s="91"/>
      <c r="V218" s="91"/>
      <c r="W218" s="91"/>
      <c r="X218" s="108"/>
      <c r="Y218" s="108"/>
      <c r="Z218" s="109"/>
      <c r="AA218" s="34" t="s">
        <v>170</v>
      </c>
      <c r="AB218" s="17">
        <f t="shared" si="24"/>
        <v>0</v>
      </c>
      <c r="AC218" s="29">
        <v>60</v>
      </c>
      <c r="AD218" s="2">
        <f t="shared" si="25"/>
        <v>5</v>
      </c>
      <c r="AE218" s="2">
        <f t="shared" si="26"/>
        <v>0</v>
      </c>
      <c r="AG218" s="35"/>
    </row>
    <row r="219" spans="1:33" x14ac:dyDescent="0.35">
      <c r="A219" s="160">
        <v>34</v>
      </c>
      <c r="B219" s="139" t="s">
        <v>526</v>
      </c>
      <c r="C219" s="232" t="s">
        <v>521</v>
      </c>
      <c r="D219" s="179"/>
      <c r="E219" s="288"/>
      <c r="F219" s="88"/>
      <c r="G219" s="91"/>
      <c r="H219" s="88"/>
      <c r="I219" s="88"/>
      <c r="J219" s="88"/>
      <c r="K219" s="88"/>
      <c r="L219" s="88"/>
      <c r="M219" s="91"/>
      <c r="N219" s="88"/>
      <c r="O219" s="108"/>
      <c r="P219" s="108"/>
      <c r="Q219" s="108"/>
      <c r="R219" s="91"/>
      <c r="S219" s="91"/>
      <c r="T219" s="91"/>
      <c r="U219" s="91"/>
      <c r="V219" s="91"/>
      <c r="W219" s="91"/>
      <c r="X219" s="108"/>
      <c r="Y219" s="108"/>
      <c r="Z219" s="109"/>
      <c r="AA219" s="34" t="s">
        <v>170</v>
      </c>
      <c r="AB219" s="17">
        <f t="shared" si="24"/>
        <v>0</v>
      </c>
      <c r="AC219" s="29">
        <v>60</v>
      </c>
      <c r="AD219" s="2">
        <f t="shared" si="25"/>
        <v>5</v>
      </c>
      <c r="AE219" s="2">
        <f t="shared" si="26"/>
        <v>0</v>
      </c>
      <c r="AG219" s="35"/>
    </row>
    <row r="220" spans="1:33" x14ac:dyDescent="0.35">
      <c r="A220" s="160">
        <v>34</v>
      </c>
      <c r="B220" s="139" t="s">
        <v>525</v>
      </c>
      <c r="C220" s="232" t="s">
        <v>523</v>
      </c>
      <c r="D220" s="179"/>
      <c r="E220" s="288"/>
      <c r="F220" s="88"/>
      <c r="G220" s="91"/>
      <c r="H220" s="88"/>
      <c r="I220" s="88"/>
      <c r="J220" s="88"/>
      <c r="K220" s="88"/>
      <c r="L220" s="88"/>
      <c r="M220" s="91"/>
      <c r="N220" s="88"/>
      <c r="O220" s="108"/>
      <c r="P220" s="108"/>
      <c r="Q220" s="108"/>
      <c r="R220" s="91"/>
      <c r="S220" s="91"/>
      <c r="T220" s="91"/>
      <c r="U220" s="91"/>
      <c r="V220" s="91"/>
      <c r="W220" s="91"/>
      <c r="X220" s="108"/>
      <c r="Y220" s="108"/>
      <c r="Z220" s="109"/>
      <c r="AA220" s="34" t="s">
        <v>170</v>
      </c>
      <c r="AB220" s="17">
        <f t="shared" si="24"/>
        <v>0</v>
      </c>
      <c r="AC220" s="29">
        <v>60</v>
      </c>
      <c r="AD220" s="2">
        <f t="shared" si="25"/>
        <v>5</v>
      </c>
      <c r="AE220" s="2">
        <f t="shared" si="26"/>
        <v>0</v>
      </c>
      <c r="AG220" s="35"/>
    </row>
    <row r="221" spans="1:33" x14ac:dyDescent="0.35">
      <c r="A221" s="160">
        <v>34</v>
      </c>
      <c r="B221" s="139" t="s">
        <v>429</v>
      </c>
      <c r="C221" s="232" t="s">
        <v>404</v>
      </c>
      <c r="D221" s="179">
        <v>11</v>
      </c>
      <c r="E221" s="288"/>
      <c r="F221" s="88"/>
      <c r="G221" s="91"/>
      <c r="H221" s="88"/>
      <c r="I221" s="88"/>
      <c r="J221" s="88"/>
      <c r="K221" s="88"/>
      <c r="L221" s="88">
        <v>19</v>
      </c>
      <c r="M221" s="91"/>
      <c r="N221" s="88"/>
      <c r="O221" s="108"/>
      <c r="P221" s="106"/>
      <c r="Q221" s="108"/>
      <c r="R221" s="88"/>
      <c r="S221" s="91"/>
      <c r="T221" s="91"/>
      <c r="U221" s="88"/>
      <c r="V221" s="91"/>
      <c r="W221" s="91"/>
      <c r="X221" s="108"/>
      <c r="Y221" s="108"/>
      <c r="Z221" s="109"/>
      <c r="AA221" s="34" t="s">
        <v>350</v>
      </c>
      <c r="AB221" s="17">
        <f t="shared" si="24"/>
        <v>19</v>
      </c>
      <c r="AC221" s="29">
        <v>60</v>
      </c>
      <c r="AD221" s="2">
        <f t="shared" si="22"/>
        <v>5</v>
      </c>
      <c r="AE221" s="2">
        <f t="shared" si="23"/>
        <v>2</v>
      </c>
      <c r="AG221" s="35"/>
    </row>
    <row r="222" spans="1:33" x14ac:dyDescent="0.35">
      <c r="A222" s="160">
        <v>34</v>
      </c>
      <c r="B222" s="139" t="s">
        <v>430</v>
      </c>
      <c r="C222" s="232" t="s">
        <v>405</v>
      </c>
      <c r="D222" s="179">
        <v>11</v>
      </c>
      <c r="E222" s="288"/>
      <c r="F222" s="88"/>
      <c r="G222" s="91"/>
      <c r="H222" s="88"/>
      <c r="I222" s="88"/>
      <c r="J222" s="88"/>
      <c r="K222" s="88"/>
      <c r="L222" s="88">
        <v>63</v>
      </c>
      <c r="M222" s="88">
        <v>37</v>
      </c>
      <c r="N222" s="88"/>
      <c r="O222" s="106"/>
      <c r="P222" s="106"/>
      <c r="Q222" s="106"/>
      <c r="R222" s="88"/>
      <c r="S222" s="88"/>
      <c r="T222" s="88"/>
      <c r="U222" s="88"/>
      <c r="V222" s="88"/>
      <c r="W222" s="91"/>
      <c r="X222" s="108"/>
      <c r="Y222" s="108"/>
      <c r="Z222" s="109"/>
      <c r="AA222" s="34" t="s">
        <v>350</v>
      </c>
      <c r="AB222" s="17">
        <f t="shared" si="24"/>
        <v>100</v>
      </c>
      <c r="AC222" s="29">
        <v>60</v>
      </c>
      <c r="AD222" s="2">
        <f t="shared" si="22"/>
        <v>5</v>
      </c>
      <c r="AE222" s="2">
        <f t="shared" si="23"/>
        <v>9</v>
      </c>
      <c r="AG222" s="35"/>
    </row>
    <row r="223" spans="1:33" x14ac:dyDescent="0.35">
      <c r="A223" s="160">
        <v>34</v>
      </c>
      <c r="B223" s="139" t="s">
        <v>431</v>
      </c>
      <c r="C223" s="232" t="s">
        <v>406</v>
      </c>
      <c r="D223" s="179">
        <v>11</v>
      </c>
      <c r="E223" s="288"/>
      <c r="F223" s="88">
        <v>2</v>
      </c>
      <c r="G223" s="91">
        <v>31</v>
      </c>
      <c r="H223" s="88"/>
      <c r="I223" s="88">
        <v>23</v>
      </c>
      <c r="J223" s="88"/>
      <c r="K223" s="88"/>
      <c r="L223" s="88"/>
      <c r="M223" s="88">
        <v>4</v>
      </c>
      <c r="N223" s="88"/>
      <c r="O223" s="106"/>
      <c r="P223" s="106"/>
      <c r="Q223" s="106"/>
      <c r="R223" s="88"/>
      <c r="S223" s="88"/>
      <c r="T223" s="91"/>
      <c r="U223" s="88"/>
      <c r="V223" s="88"/>
      <c r="W223" s="91"/>
      <c r="X223" s="108"/>
      <c r="Y223" s="108"/>
      <c r="Z223" s="109"/>
      <c r="AA223" s="34" t="s">
        <v>350</v>
      </c>
      <c r="AB223" s="17">
        <f t="shared" si="24"/>
        <v>60</v>
      </c>
      <c r="AC223" s="29">
        <v>60</v>
      </c>
      <c r="AD223" s="2">
        <f t="shared" si="22"/>
        <v>5</v>
      </c>
      <c r="AE223" s="2">
        <f t="shared" si="23"/>
        <v>5</v>
      </c>
      <c r="AG223" s="35"/>
    </row>
    <row r="224" spans="1:33" x14ac:dyDescent="0.35">
      <c r="A224" s="160">
        <v>34</v>
      </c>
      <c r="B224" s="139" t="s">
        <v>432</v>
      </c>
      <c r="C224" s="232" t="s">
        <v>407</v>
      </c>
      <c r="D224" s="179">
        <v>11</v>
      </c>
      <c r="E224" s="288"/>
      <c r="F224" s="88"/>
      <c r="G224" s="91"/>
      <c r="H224" s="88"/>
      <c r="I224" s="88"/>
      <c r="J224" s="88"/>
      <c r="K224" s="88"/>
      <c r="L224" s="88"/>
      <c r="M224" s="88"/>
      <c r="N224" s="88"/>
      <c r="O224" s="106"/>
      <c r="P224" s="108"/>
      <c r="Q224" s="106"/>
      <c r="R224" s="262">
        <v>6</v>
      </c>
      <c r="S224" s="88"/>
      <c r="T224" s="88"/>
      <c r="U224" s="88"/>
      <c r="V224" s="91"/>
      <c r="W224" s="88"/>
      <c r="X224" s="108"/>
      <c r="Y224" s="108"/>
      <c r="Z224" s="109"/>
      <c r="AA224" s="34" t="s">
        <v>350</v>
      </c>
      <c r="AB224" s="17">
        <f t="shared" si="24"/>
        <v>6</v>
      </c>
      <c r="AC224" s="29">
        <v>60</v>
      </c>
      <c r="AD224" s="2">
        <f t="shared" si="22"/>
        <v>5</v>
      </c>
      <c r="AE224" s="2">
        <f t="shared" si="23"/>
        <v>1</v>
      </c>
      <c r="AG224" s="35"/>
    </row>
    <row r="225" spans="1:33" x14ac:dyDescent="0.35">
      <c r="A225" s="160">
        <v>34</v>
      </c>
      <c r="B225" s="139" t="s">
        <v>433</v>
      </c>
      <c r="C225" s="232" t="s">
        <v>414</v>
      </c>
      <c r="D225" s="179">
        <v>11</v>
      </c>
      <c r="E225" s="288"/>
      <c r="F225" s="88"/>
      <c r="G225" s="88"/>
      <c r="H225" s="88"/>
      <c r="I225" s="88"/>
      <c r="J225" s="91"/>
      <c r="K225" s="91"/>
      <c r="L225" s="88"/>
      <c r="M225" s="91"/>
      <c r="N225" s="88"/>
      <c r="O225" s="106"/>
      <c r="P225" s="106"/>
      <c r="Q225" s="108"/>
      <c r="R225" s="88"/>
      <c r="S225" s="88"/>
      <c r="T225" s="91"/>
      <c r="U225" s="88"/>
      <c r="V225" s="88"/>
      <c r="W225" s="91"/>
      <c r="X225" s="108"/>
      <c r="Y225" s="108"/>
      <c r="Z225" s="109"/>
      <c r="AA225" s="34" t="s">
        <v>350</v>
      </c>
      <c r="AB225" s="17">
        <f t="shared" si="24"/>
        <v>0</v>
      </c>
      <c r="AC225" s="29">
        <v>60</v>
      </c>
      <c r="AD225" s="2">
        <f t="shared" si="22"/>
        <v>5</v>
      </c>
      <c r="AE225" s="2">
        <f t="shared" si="23"/>
        <v>0</v>
      </c>
      <c r="AG225" s="35"/>
    </row>
    <row r="226" spans="1:33" x14ac:dyDescent="0.35">
      <c r="A226" s="160">
        <v>34</v>
      </c>
      <c r="B226" s="139" t="s">
        <v>434</v>
      </c>
      <c r="C226" s="232" t="s">
        <v>415</v>
      </c>
      <c r="D226" s="179">
        <v>11</v>
      </c>
      <c r="E226" s="288"/>
      <c r="F226" s="91"/>
      <c r="G226" s="91"/>
      <c r="H226" s="91"/>
      <c r="I226" s="91"/>
      <c r="J226" s="91">
        <v>5</v>
      </c>
      <c r="K226" s="91"/>
      <c r="L226" s="91"/>
      <c r="M226" s="91"/>
      <c r="N226" s="91"/>
      <c r="O226" s="108"/>
      <c r="P226" s="108"/>
      <c r="Q226" s="108"/>
      <c r="R226" s="91"/>
      <c r="S226" s="91"/>
      <c r="T226" s="91"/>
      <c r="U226" s="91"/>
      <c r="V226" s="91"/>
      <c r="W226" s="91"/>
      <c r="X226" s="108"/>
      <c r="Y226" s="108"/>
      <c r="Z226" s="109"/>
      <c r="AA226" s="34" t="s">
        <v>350</v>
      </c>
      <c r="AB226" s="17">
        <f t="shared" si="24"/>
        <v>5</v>
      </c>
      <c r="AC226" s="29">
        <v>60</v>
      </c>
      <c r="AD226" s="2">
        <f t="shared" si="22"/>
        <v>5</v>
      </c>
      <c r="AE226" s="2">
        <f t="shared" si="23"/>
        <v>0</v>
      </c>
      <c r="AG226" s="35"/>
    </row>
    <row r="227" spans="1:33" x14ac:dyDescent="0.35">
      <c r="A227" s="160">
        <v>34</v>
      </c>
      <c r="B227" s="139" t="s">
        <v>435</v>
      </c>
      <c r="C227" s="232" t="s">
        <v>416</v>
      </c>
      <c r="D227" s="179">
        <v>11</v>
      </c>
      <c r="E227" s="288"/>
      <c r="F227" s="91"/>
      <c r="G227" s="91"/>
      <c r="H227" s="91"/>
      <c r="I227" s="91"/>
      <c r="J227" s="91">
        <v>5</v>
      </c>
      <c r="K227" s="91"/>
      <c r="L227" s="91"/>
      <c r="M227" s="91"/>
      <c r="N227" s="91"/>
      <c r="O227" s="108"/>
      <c r="P227" s="108"/>
      <c r="Q227" s="108"/>
      <c r="R227" s="91"/>
      <c r="S227" s="91"/>
      <c r="T227" s="91"/>
      <c r="U227" s="91"/>
      <c r="V227" s="91"/>
      <c r="W227" s="91"/>
      <c r="X227" s="108"/>
      <c r="Y227" s="108"/>
      <c r="Z227" s="109"/>
      <c r="AA227" s="34" t="s">
        <v>350</v>
      </c>
      <c r="AB227" s="17">
        <f t="shared" si="24"/>
        <v>5</v>
      </c>
      <c r="AC227" s="29">
        <v>60</v>
      </c>
      <c r="AD227" s="2">
        <f t="shared" si="22"/>
        <v>5</v>
      </c>
      <c r="AE227" s="2">
        <f t="shared" si="23"/>
        <v>0</v>
      </c>
      <c r="AG227" s="35"/>
    </row>
    <row r="228" spans="1:33" x14ac:dyDescent="0.35">
      <c r="A228" s="160">
        <v>34</v>
      </c>
      <c r="B228" s="139" t="s">
        <v>436</v>
      </c>
      <c r="C228" s="232" t="s">
        <v>417</v>
      </c>
      <c r="D228" s="179">
        <v>11</v>
      </c>
      <c r="E228" s="288"/>
      <c r="F228" s="91"/>
      <c r="G228" s="91"/>
      <c r="H228" s="91"/>
      <c r="I228" s="91"/>
      <c r="J228" s="91">
        <v>5</v>
      </c>
      <c r="K228" s="91"/>
      <c r="L228" s="91"/>
      <c r="M228" s="91"/>
      <c r="N228" s="91"/>
      <c r="O228" s="108"/>
      <c r="P228" s="108"/>
      <c r="Q228" s="108"/>
      <c r="R228" s="91"/>
      <c r="S228" s="91"/>
      <c r="T228" s="91"/>
      <c r="U228" s="91"/>
      <c r="V228" s="91"/>
      <c r="W228" s="91"/>
      <c r="X228" s="108"/>
      <c r="Y228" s="108"/>
      <c r="Z228" s="109"/>
      <c r="AA228" s="34" t="s">
        <v>350</v>
      </c>
      <c r="AB228" s="17">
        <f t="shared" si="24"/>
        <v>5</v>
      </c>
      <c r="AC228" s="29">
        <v>60</v>
      </c>
      <c r="AD228" s="2">
        <f t="shared" si="22"/>
        <v>5</v>
      </c>
      <c r="AE228" s="2">
        <f t="shared" si="23"/>
        <v>0</v>
      </c>
      <c r="AG228" s="35"/>
    </row>
    <row r="229" spans="1:33" x14ac:dyDescent="0.35">
      <c r="A229" s="160">
        <v>34</v>
      </c>
      <c r="B229" s="139" t="s">
        <v>437</v>
      </c>
      <c r="C229" s="232" t="s">
        <v>408</v>
      </c>
      <c r="D229" s="179">
        <v>11</v>
      </c>
      <c r="E229" s="288"/>
      <c r="F229" s="91"/>
      <c r="G229" s="91"/>
      <c r="H229" s="91">
        <v>35</v>
      </c>
      <c r="I229" s="91"/>
      <c r="J229" s="91"/>
      <c r="K229" s="91"/>
      <c r="L229" s="91"/>
      <c r="M229" s="91"/>
      <c r="N229" s="91"/>
      <c r="O229" s="108"/>
      <c r="P229" s="108"/>
      <c r="Q229" s="108"/>
      <c r="R229" s="91"/>
      <c r="S229" s="91"/>
      <c r="T229" s="91"/>
      <c r="U229" s="91"/>
      <c r="V229" s="91"/>
      <c r="W229" s="91"/>
      <c r="X229" s="108"/>
      <c r="Y229" s="108"/>
      <c r="Z229" s="109"/>
      <c r="AA229" s="34" t="s">
        <v>350</v>
      </c>
      <c r="AB229" s="17">
        <f t="shared" si="24"/>
        <v>35</v>
      </c>
      <c r="AC229" s="29">
        <v>60</v>
      </c>
      <c r="AD229" s="2">
        <f t="shared" si="22"/>
        <v>5</v>
      </c>
      <c r="AE229" s="2">
        <f t="shared" si="23"/>
        <v>3</v>
      </c>
      <c r="AG229" s="35"/>
    </row>
    <row r="230" spans="1:33" x14ac:dyDescent="0.35">
      <c r="A230" s="160">
        <v>34</v>
      </c>
      <c r="B230" s="139" t="s">
        <v>438</v>
      </c>
      <c r="C230" s="232" t="s">
        <v>409</v>
      </c>
      <c r="D230" s="179">
        <v>11</v>
      </c>
      <c r="E230" s="288"/>
      <c r="F230" s="91"/>
      <c r="G230" s="91"/>
      <c r="H230" s="91"/>
      <c r="I230" s="91"/>
      <c r="J230" s="91"/>
      <c r="K230" s="91"/>
      <c r="L230" s="91"/>
      <c r="M230" s="91"/>
      <c r="N230" s="91"/>
      <c r="O230" s="108"/>
      <c r="P230" s="108"/>
      <c r="Q230" s="108"/>
      <c r="R230" s="91"/>
      <c r="S230" s="91"/>
      <c r="T230" s="91"/>
      <c r="U230" s="91"/>
      <c r="V230" s="91"/>
      <c r="W230" s="91"/>
      <c r="X230" s="108"/>
      <c r="Y230" s="108"/>
      <c r="Z230" s="109"/>
      <c r="AA230" s="34" t="s">
        <v>350</v>
      </c>
      <c r="AB230" s="17">
        <f t="shared" si="24"/>
        <v>0</v>
      </c>
      <c r="AC230" s="29">
        <v>60</v>
      </c>
      <c r="AD230" s="2">
        <f t="shared" si="22"/>
        <v>5</v>
      </c>
      <c r="AE230" s="2">
        <f t="shared" si="23"/>
        <v>0</v>
      </c>
      <c r="AG230" s="35"/>
    </row>
    <row r="231" spans="1:33" x14ac:dyDescent="0.35">
      <c r="A231" s="160">
        <v>34</v>
      </c>
      <c r="B231" s="139" t="s">
        <v>439</v>
      </c>
      <c r="C231" s="232" t="s">
        <v>410</v>
      </c>
      <c r="D231" s="179">
        <v>11</v>
      </c>
      <c r="E231" s="288"/>
      <c r="F231" s="91"/>
      <c r="G231" s="91"/>
      <c r="H231" s="91"/>
      <c r="I231" s="91"/>
      <c r="J231" s="91"/>
      <c r="K231" s="91"/>
      <c r="L231" s="91"/>
      <c r="M231" s="91"/>
      <c r="N231" s="91"/>
      <c r="O231" s="108"/>
      <c r="P231" s="108"/>
      <c r="Q231" s="108"/>
      <c r="R231" s="91"/>
      <c r="S231" s="91"/>
      <c r="T231" s="91"/>
      <c r="U231" s="91"/>
      <c r="V231" s="91"/>
      <c r="W231" s="91"/>
      <c r="X231" s="108"/>
      <c r="Y231" s="108"/>
      <c r="Z231" s="109"/>
      <c r="AA231" s="34" t="s">
        <v>350</v>
      </c>
      <c r="AB231" s="17">
        <f t="shared" si="24"/>
        <v>0</v>
      </c>
      <c r="AC231" s="29">
        <v>60</v>
      </c>
      <c r="AD231" s="2">
        <f t="shared" si="22"/>
        <v>5</v>
      </c>
      <c r="AE231" s="2">
        <f t="shared" si="23"/>
        <v>0</v>
      </c>
      <c r="AG231" s="35"/>
    </row>
    <row r="232" spans="1:33" x14ac:dyDescent="0.35">
      <c r="A232" s="160">
        <v>34</v>
      </c>
      <c r="B232" s="139" t="s">
        <v>440</v>
      </c>
      <c r="C232" s="232" t="s">
        <v>411</v>
      </c>
      <c r="D232" s="179">
        <v>11</v>
      </c>
      <c r="E232" s="288"/>
      <c r="F232" s="91"/>
      <c r="G232" s="91"/>
      <c r="H232" s="91">
        <v>20</v>
      </c>
      <c r="I232" s="91"/>
      <c r="J232" s="91"/>
      <c r="K232" s="91"/>
      <c r="L232" s="91"/>
      <c r="M232" s="91"/>
      <c r="N232" s="91"/>
      <c r="O232" s="108"/>
      <c r="P232" s="108"/>
      <c r="Q232" s="108"/>
      <c r="R232" s="91"/>
      <c r="S232" s="91"/>
      <c r="T232" s="91"/>
      <c r="U232" s="91"/>
      <c r="V232" s="91"/>
      <c r="W232" s="91"/>
      <c r="X232" s="108"/>
      <c r="Y232" s="108"/>
      <c r="Z232" s="109"/>
      <c r="AA232" s="34" t="s">
        <v>350</v>
      </c>
      <c r="AB232" s="17">
        <f t="shared" si="24"/>
        <v>20</v>
      </c>
      <c r="AC232" s="29">
        <v>60</v>
      </c>
      <c r="AD232" s="2">
        <f t="shared" si="22"/>
        <v>5</v>
      </c>
      <c r="AE232" s="2">
        <f t="shared" si="23"/>
        <v>2</v>
      </c>
      <c r="AG232" s="35"/>
    </row>
    <row r="233" spans="1:33" x14ac:dyDescent="0.35">
      <c r="A233" s="160">
        <v>34</v>
      </c>
      <c r="B233" s="139" t="s">
        <v>441</v>
      </c>
      <c r="C233" s="232" t="s">
        <v>412</v>
      </c>
      <c r="D233" s="179">
        <v>11</v>
      </c>
      <c r="E233" s="288"/>
      <c r="F233" s="88"/>
      <c r="G233" s="88">
        <v>41</v>
      </c>
      <c r="H233" s="88">
        <v>27</v>
      </c>
      <c r="I233" s="88"/>
      <c r="J233" s="88">
        <v>41</v>
      </c>
      <c r="K233" s="88">
        <v>82</v>
      </c>
      <c r="L233" s="88"/>
      <c r="M233" s="88">
        <v>41</v>
      </c>
      <c r="N233" s="88">
        <v>82</v>
      </c>
      <c r="O233" s="106"/>
      <c r="P233" s="106"/>
      <c r="Q233" s="108"/>
      <c r="R233" s="260">
        <v>76</v>
      </c>
      <c r="S233" s="88">
        <v>41</v>
      </c>
      <c r="T233" s="91">
        <v>82</v>
      </c>
      <c r="U233" s="260">
        <v>82</v>
      </c>
      <c r="V233" s="88"/>
      <c r="W233" s="91">
        <v>82</v>
      </c>
      <c r="X233" s="108"/>
      <c r="Y233" s="108"/>
      <c r="Z233" s="109"/>
      <c r="AA233" s="34" t="s">
        <v>350</v>
      </c>
      <c r="AB233" s="17">
        <f t="shared" si="24"/>
        <v>677</v>
      </c>
      <c r="AC233" s="29">
        <v>60</v>
      </c>
      <c r="AD233" s="2">
        <f t="shared" si="22"/>
        <v>5</v>
      </c>
      <c r="AE233" s="2">
        <f t="shared" si="23"/>
        <v>62</v>
      </c>
      <c r="AG233" s="35"/>
    </row>
    <row r="234" spans="1:33" ht="15" thickBot="1" x14ac:dyDescent="0.4">
      <c r="A234" s="160">
        <v>34</v>
      </c>
      <c r="B234" s="139" t="s">
        <v>442</v>
      </c>
      <c r="C234" s="232" t="s">
        <v>413</v>
      </c>
      <c r="D234" s="179">
        <v>11</v>
      </c>
      <c r="E234" s="289"/>
      <c r="F234" s="92"/>
      <c r="G234" s="92"/>
      <c r="H234" s="92"/>
      <c r="I234" s="92"/>
      <c r="J234" s="92"/>
      <c r="K234" s="91"/>
      <c r="L234" s="91"/>
      <c r="M234" s="91"/>
      <c r="N234" s="91"/>
      <c r="O234" s="108"/>
      <c r="P234" s="108"/>
      <c r="Q234" s="108"/>
      <c r="R234" s="91"/>
      <c r="S234" s="91"/>
      <c r="T234" s="91"/>
      <c r="U234" s="91"/>
      <c r="V234" s="91"/>
      <c r="W234" s="91"/>
      <c r="X234" s="108"/>
      <c r="Y234" s="108"/>
      <c r="Z234" s="109"/>
      <c r="AA234" s="34" t="s">
        <v>350</v>
      </c>
      <c r="AB234" s="17">
        <f t="shared" si="24"/>
        <v>0</v>
      </c>
      <c r="AC234" s="29">
        <v>60</v>
      </c>
      <c r="AD234" s="2">
        <f t="shared" si="22"/>
        <v>5</v>
      </c>
      <c r="AE234" s="2">
        <f t="shared" si="23"/>
        <v>0</v>
      </c>
      <c r="AG234" s="35"/>
    </row>
    <row r="235" spans="1:33" x14ac:dyDescent="0.35">
      <c r="A235" s="157">
        <v>35</v>
      </c>
      <c r="B235" s="136" t="s">
        <v>471</v>
      </c>
      <c r="C235" s="228" t="s">
        <v>367</v>
      </c>
      <c r="D235" s="169">
        <v>11</v>
      </c>
      <c r="E235" s="287"/>
      <c r="F235" s="89"/>
      <c r="G235" s="89"/>
      <c r="H235" s="89"/>
      <c r="I235" s="89"/>
      <c r="J235" s="89"/>
      <c r="K235" s="87"/>
      <c r="L235" s="87"/>
      <c r="M235" s="87"/>
      <c r="N235" s="87"/>
      <c r="O235" s="102"/>
      <c r="P235" s="102"/>
      <c r="Q235" s="102"/>
      <c r="R235" s="87"/>
      <c r="S235" s="87"/>
      <c r="T235" s="87"/>
      <c r="U235" s="87"/>
      <c r="V235" s="87"/>
      <c r="W235" s="87"/>
      <c r="X235" s="102"/>
      <c r="Y235" s="102"/>
      <c r="Z235" s="103"/>
      <c r="AA235" s="34" t="s">
        <v>186</v>
      </c>
      <c r="AB235" s="17">
        <f t="shared" si="24"/>
        <v>0</v>
      </c>
      <c r="AC235" s="29">
        <v>60</v>
      </c>
      <c r="AD235" s="2">
        <f t="shared" si="22"/>
        <v>5</v>
      </c>
      <c r="AE235" s="2">
        <f t="shared" si="23"/>
        <v>0</v>
      </c>
      <c r="AG235" s="35"/>
    </row>
    <row r="236" spans="1:33" x14ac:dyDescent="0.35">
      <c r="A236" s="159">
        <v>35</v>
      </c>
      <c r="B236" s="135" t="s">
        <v>472</v>
      </c>
      <c r="C236" s="210" t="s">
        <v>366</v>
      </c>
      <c r="D236" s="175">
        <v>11</v>
      </c>
      <c r="E236" s="288"/>
      <c r="F236" s="88"/>
      <c r="G236" s="88"/>
      <c r="H236" s="88"/>
      <c r="I236" s="88"/>
      <c r="J236" s="88"/>
      <c r="K236" s="88"/>
      <c r="L236" s="88"/>
      <c r="M236" s="88"/>
      <c r="N236" s="88"/>
      <c r="O236" s="106"/>
      <c r="P236" s="106"/>
      <c r="Q236" s="106"/>
      <c r="R236" s="88"/>
      <c r="S236" s="88"/>
      <c r="T236" s="88"/>
      <c r="U236" s="88"/>
      <c r="V236" s="88"/>
      <c r="W236" s="88"/>
      <c r="X236" s="106"/>
      <c r="Y236" s="106"/>
      <c r="Z236" s="107"/>
      <c r="AA236" s="34" t="s">
        <v>186</v>
      </c>
      <c r="AB236" s="17">
        <f t="shared" si="24"/>
        <v>0</v>
      </c>
      <c r="AC236" s="29">
        <v>60</v>
      </c>
      <c r="AD236" s="2">
        <f t="shared" si="22"/>
        <v>5</v>
      </c>
      <c r="AE236" s="2">
        <f t="shared" si="23"/>
        <v>0</v>
      </c>
      <c r="AG236" s="35"/>
    </row>
    <row r="237" spans="1:33" x14ac:dyDescent="0.35">
      <c r="A237" s="159">
        <v>35</v>
      </c>
      <c r="B237" s="135" t="s">
        <v>473</v>
      </c>
      <c r="C237" s="210" t="s">
        <v>374</v>
      </c>
      <c r="D237" s="175">
        <v>11</v>
      </c>
      <c r="E237" s="288"/>
      <c r="F237" s="88"/>
      <c r="G237" s="88"/>
      <c r="H237" s="88"/>
      <c r="I237" s="88"/>
      <c r="J237" s="88"/>
      <c r="K237" s="88"/>
      <c r="L237" s="88"/>
      <c r="M237" s="88"/>
      <c r="N237" s="88"/>
      <c r="O237" s="106"/>
      <c r="P237" s="106"/>
      <c r="Q237" s="106"/>
      <c r="R237" s="88"/>
      <c r="S237" s="88"/>
      <c r="T237" s="88"/>
      <c r="U237" s="88"/>
      <c r="V237" s="88"/>
      <c r="W237" s="88"/>
      <c r="X237" s="106"/>
      <c r="Y237" s="106"/>
      <c r="Z237" s="107"/>
      <c r="AA237" s="34" t="s">
        <v>186</v>
      </c>
      <c r="AB237" s="17">
        <f t="shared" si="24"/>
        <v>0</v>
      </c>
      <c r="AC237" s="29">
        <v>60</v>
      </c>
      <c r="AD237" s="2">
        <f t="shared" si="22"/>
        <v>5</v>
      </c>
      <c r="AE237" s="2">
        <f t="shared" si="23"/>
        <v>0</v>
      </c>
      <c r="AG237" s="35"/>
    </row>
    <row r="238" spans="1:33" x14ac:dyDescent="0.35">
      <c r="A238" s="159">
        <v>35</v>
      </c>
      <c r="B238" s="146" t="s">
        <v>474</v>
      </c>
      <c r="C238" s="224" t="s">
        <v>368</v>
      </c>
      <c r="D238" s="187">
        <v>11</v>
      </c>
      <c r="E238" s="288"/>
      <c r="F238" s="88"/>
      <c r="G238" s="88"/>
      <c r="H238" s="88"/>
      <c r="I238" s="88"/>
      <c r="J238" s="88"/>
      <c r="K238" s="88"/>
      <c r="L238" s="88"/>
      <c r="M238" s="88"/>
      <c r="N238" s="88"/>
      <c r="O238" s="106"/>
      <c r="P238" s="106"/>
      <c r="Q238" s="106"/>
      <c r="R238" s="88"/>
      <c r="S238" s="88"/>
      <c r="T238" s="88"/>
      <c r="U238" s="88"/>
      <c r="V238" s="88"/>
      <c r="W238" s="88"/>
      <c r="X238" s="106"/>
      <c r="Y238" s="106"/>
      <c r="Z238" s="107"/>
      <c r="AA238" s="34" t="s">
        <v>186</v>
      </c>
      <c r="AB238" s="17">
        <f t="shared" si="24"/>
        <v>0</v>
      </c>
      <c r="AC238" s="29">
        <v>60</v>
      </c>
      <c r="AD238" s="2">
        <f t="shared" si="22"/>
        <v>5</v>
      </c>
      <c r="AE238" s="2">
        <f t="shared" si="23"/>
        <v>0</v>
      </c>
      <c r="AG238" s="35"/>
    </row>
    <row r="239" spans="1:33" x14ac:dyDescent="0.35">
      <c r="A239" s="159">
        <v>35</v>
      </c>
      <c r="B239" s="135" t="s">
        <v>475</v>
      </c>
      <c r="C239" s="232" t="s">
        <v>346</v>
      </c>
      <c r="D239" s="179">
        <v>11</v>
      </c>
      <c r="E239" s="288"/>
      <c r="F239" s="88"/>
      <c r="G239" s="88"/>
      <c r="H239" s="88"/>
      <c r="I239" s="88"/>
      <c r="J239" s="88"/>
      <c r="K239" s="88"/>
      <c r="L239" s="88"/>
      <c r="M239" s="88"/>
      <c r="N239" s="88"/>
      <c r="O239" s="106"/>
      <c r="P239" s="106"/>
      <c r="Q239" s="106"/>
      <c r="R239" s="88"/>
      <c r="S239" s="88"/>
      <c r="T239" s="88"/>
      <c r="U239" s="88"/>
      <c r="V239" s="88"/>
      <c r="W239" s="88"/>
      <c r="X239" s="106"/>
      <c r="Y239" s="106"/>
      <c r="Z239" s="107"/>
      <c r="AA239" s="34" t="s">
        <v>186</v>
      </c>
      <c r="AB239" s="17">
        <f t="shared" si="24"/>
        <v>0</v>
      </c>
      <c r="AC239" s="29">
        <v>60</v>
      </c>
      <c r="AD239" s="2">
        <f t="shared" si="22"/>
        <v>5</v>
      </c>
      <c r="AE239" s="2">
        <f t="shared" si="23"/>
        <v>0</v>
      </c>
      <c r="AG239" s="35"/>
    </row>
    <row r="240" spans="1:33" x14ac:dyDescent="0.35">
      <c r="A240" s="159">
        <v>35</v>
      </c>
      <c r="B240" s="146" t="s">
        <v>476</v>
      </c>
      <c r="C240" s="224" t="s">
        <v>345</v>
      </c>
      <c r="D240" s="187">
        <v>11</v>
      </c>
      <c r="E240" s="288"/>
      <c r="F240" s="88"/>
      <c r="G240" s="88"/>
      <c r="H240" s="88"/>
      <c r="I240" s="88"/>
      <c r="J240" s="88"/>
      <c r="K240" s="88"/>
      <c r="L240" s="88"/>
      <c r="M240" s="88"/>
      <c r="N240" s="88"/>
      <c r="O240" s="106"/>
      <c r="P240" s="106"/>
      <c r="Q240" s="106"/>
      <c r="R240" s="88"/>
      <c r="S240" s="88"/>
      <c r="T240" s="88"/>
      <c r="U240" s="88"/>
      <c r="V240" s="88"/>
      <c r="W240" s="88"/>
      <c r="X240" s="106"/>
      <c r="Y240" s="106"/>
      <c r="Z240" s="107"/>
      <c r="AA240" s="34" t="s">
        <v>186</v>
      </c>
      <c r="AB240" s="17">
        <f t="shared" si="24"/>
        <v>0</v>
      </c>
      <c r="AC240" s="29">
        <v>60</v>
      </c>
      <c r="AD240" s="2">
        <f t="shared" si="22"/>
        <v>5</v>
      </c>
      <c r="AE240" s="2">
        <f t="shared" si="23"/>
        <v>0</v>
      </c>
      <c r="AG240" s="35"/>
    </row>
    <row r="241" spans="1:33" x14ac:dyDescent="0.35">
      <c r="A241" s="159">
        <v>35</v>
      </c>
      <c r="B241" s="146" t="s">
        <v>477</v>
      </c>
      <c r="C241" s="224" t="s">
        <v>347</v>
      </c>
      <c r="D241" s="187">
        <v>11</v>
      </c>
      <c r="E241" s="288"/>
      <c r="F241" s="88"/>
      <c r="G241" s="88"/>
      <c r="H241" s="88"/>
      <c r="I241" s="88"/>
      <c r="J241" s="88"/>
      <c r="K241" s="88"/>
      <c r="L241" s="88"/>
      <c r="M241" s="88"/>
      <c r="N241" s="88"/>
      <c r="O241" s="106"/>
      <c r="P241" s="106"/>
      <c r="Q241" s="106"/>
      <c r="R241" s="88"/>
      <c r="S241" s="88"/>
      <c r="T241" s="88"/>
      <c r="U241" s="88"/>
      <c r="V241" s="88"/>
      <c r="W241" s="88"/>
      <c r="X241" s="106"/>
      <c r="Y241" s="106"/>
      <c r="Z241" s="107"/>
      <c r="AA241" s="34" t="s">
        <v>186</v>
      </c>
      <c r="AB241" s="17">
        <f t="shared" si="24"/>
        <v>0</v>
      </c>
      <c r="AC241" s="29">
        <v>60</v>
      </c>
      <c r="AD241" s="2">
        <f t="shared" si="22"/>
        <v>5</v>
      </c>
      <c r="AE241" s="2">
        <f t="shared" si="23"/>
        <v>0</v>
      </c>
      <c r="AG241" s="35"/>
    </row>
    <row r="242" spans="1:33" x14ac:dyDescent="0.35">
      <c r="A242" s="159">
        <v>35</v>
      </c>
      <c r="B242" s="135" t="s">
        <v>477</v>
      </c>
      <c r="C242" s="210" t="s">
        <v>187</v>
      </c>
      <c r="D242" s="175">
        <v>11</v>
      </c>
      <c r="E242" s="288"/>
      <c r="F242" s="88"/>
      <c r="G242" s="88"/>
      <c r="H242" s="88"/>
      <c r="I242" s="88"/>
      <c r="J242" s="88"/>
      <c r="K242" s="88"/>
      <c r="L242" s="88"/>
      <c r="M242" s="88"/>
      <c r="N242" s="88"/>
      <c r="O242" s="106"/>
      <c r="P242" s="106"/>
      <c r="Q242" s="106"/>
      <c r="R242" s="88"/>
      <c r="S242" s="88"/>
      <c r="T242" s="88"/>
      <c r="U242" s="88"/>
      <c r="V242" s="88"/>
      <c r="W242" s="88"/>
      <c r="X242" s="106"/>
      <c r="Y242" s="106"/>
      <c r="Z242" s="107"/>
      <c r="AA242" s="34" t="s">
        <v>186</v>
      </c>
      <c r="AB242" s="17">
        <f t="shared" si="24"/>
        <v>0</v>
      </c>
      <c r="AC242" s="29">
        <v>60</v>
      </c>
      <c r="AD242" s="2">
        <f t="shared" si="22"/>
        <v>5</v>
      </c>
      <c r="AE242" s="2">
        <f t="shared" si="23"/>
        <v>0</v>
      </c>
      <c r="AG242" s="35"/>
    </row>
    <row r="243" spans="1:33" x14ac:dyDescent="0.35">
      <c r="A243" s="159">
        <v>35</v>
      </c>
      <c r="B243" s="135" t="s">
        <v>475</v>
      </c>
      <c r="C243" s="210" t="s">
        <v>188</v>
      </c>
      <c r="D243" s="175">
        <v>11</v>
      </c>
      <c r="E243" s="288"/>
      <c r="F243" s="88"/>
      <c r="G243" s="88"/>
      <c r="H243" s="88"/>
      <c r="I243" s="88"/>
      <c r="J243" s="88"/>
      <c r="K243" s="88"/>
      <c r="L243" s="88"/>
      <c r="M243" s="88"/>
      <c r="N243" s="88"/>
      <c r="O243" s="106"/>
      <c r="P243" s="106"/>
      <c r="Q243" s="106"/>
      <c r="R243" s="88"/>
      <c r="S243" s="88"/>
      <c r="T243" s="88"/>
      <c r="U243" s="88"/>
      <c r="V243" s="88"/>
      <c r="W243" s="88"/>
      <c r="X243" s="106"/>
      <c r="Y243" s="106"/>
      <c r="Z243" s="107"/>
      <c r="AA243" s="34" t="s">
        <v>186</v>
      </c>
      <c r="AB243" s="17">
        <f t="shared" si="24"/>
        <v>0</v>
      </c>
      <c r="AC243" s="29">
        <v>60</v>
      </c>
      <c r="AD243" s="2">
        <f t="shared" si="22"/>
        <v>5</v>
      </c>
      <c r="AE243" s="2">
        <f t="shared" si="23"/>
        <v>0</v>
      </c>
      <c r="AG243" s="35"/>
    </row>
    <row r="244" spans="1:33" x14ac:dyDescent="0.35">
      <c r="A244" s="159">
        <v>35</v>
      </c>
      <c r="B244" s="135" t="s">
        <v>478</v>
      </c>
      <c r="C244" s="210" t="s">
        <v>189</v>
      </c>
      <c r="D244" s="175">
        <v>11</v>
      </c>
      <c r="E244" s="288"/>
      <c r="F244" s="88"/>
      <c r="G244" s="88"/>
      <c r="H244" s="88"/>
      <c r="I244" s="88"/>
      <c r="J244" s="88"/>
      <c r="K244" s="88"/>
      <c r="L244" s="88"/>
      <c r="M244" s="88"/>
      <c r="N244" s="88"/>
      <c r="O244" s="106"/>
      <c r="P244" s="106"/>
      <c r="Q244" s="106"/>
      <c r="R244" s="88"/>
      <c r="S244" s="88"/>
      <c r="T244" s="88"/>
      <c r="U244" s="88"/>
      <c r="V244" s="88"/>
      <c r="W244" s="88"/>
      <c r="X244" s="106"/>
      <c r="Y244" s="106"/>
      <c r="Z244" s="107"/>
      <c r="AA244" s="34" t="s">
        <v>186</v>
      </c>
      <c r="AB244" s="17">
        <f t="shared" si="24"/>
        <v>0</v>
      </c>
      <c r="AC244" s="29">
        <v>60</v>
      </c>
      <c r="AD244" s="2">
        <f t="shared" si="22"/>
        <v>5</v>
      </c>
      <c r="AE244" s="2">
        <f t="shared" si="23"/>
        <v>0</v>
      </c>
      <c r="AG244" s="35"/>
    </row>
    <row r="245" spans="1:33" x14ac:dyDescent="0.35">
      <c r="A245" s="159">
        <v>35</v>
      </c>
      <c r="B245" s="135" t="s">
        <v>479</v>
      </c>
      <c r="C245" s="224" t="s">
        <v>339</v>
      </c>
      <c r="D245" s="175">
        <v>10</v>
      </c>
      <c r="E245" s="288"/>
      <c r="F245" s="88"/>
      <c r="G245" s="88"/>
      <c r="H245" s="88"/>
      <c r="I245" s="88"/>
      <c r="J245" s="88"/>
      <c r="K245" s="88"/>
      <c r="L245" s="88"/>
      <c r="M245" s="88"/>
      <c r="N245" s="88"/>
      <c r="O245" s="106"/>
      <c r="P245" s="106"/>
      <c r="Q245" s="106"/>
      <c r="R245" s="88"/>
      <c r="S245" s="88"/>
      <c r="T245" s="88"/>
      <c r="U245" s="88"/>
      <c r="V245" s="88"/>
      <c r="W245" s="88"/>
      <c r="X245" s="106"/>
      <c r="Y245" s="106"/>
      <c r="Z245" s="107"/>
      <c r="AA245" s="34" t="s">
        <v>186</v>
      </c>
      <c r="AB245" s="17">
        <f t="shared" si="24"/>
        <v>0</v>
      </c>
      <c r="AC245" s="29">
        <v>60</v>
      </c>
      <c r="AD245" s="2">
        <f t="shared" si="22"/>
        <v>5</v>
      </c>
      <c r="AE245" s="2">
        <f t="shared" si="23"/>
        <v>0</v>
      </c>
      <c r="AG245" s="35"/>
    </row>
    <row r="246" spans="1:33" x14ac:dyDescent="0.35">
      <c r="A246" s="159">
        <v>35</v>
      </c>
      <c r="B246" s="135" t="s">
        <v>480</v>
      </c>
      <c r="C246" s="224" t="s">
        <v>340</v>
      </c>
      <c r="D246" s="175">
        <v>10</v>
      </c>
      <c r="E246" s="288"/>
      <c r="F246" s="88"/>
      <c r="G246" s="88"/>
      <c r="H246" s="88"/>
      <c r="I246" s="88"/>
      <c r="J246" s="88"/>
      <c r="K246" s="88"/>
      <c r="L246" s="88"/>
      <c r="M246" s="88"/>
      <c r="N246" s="88"/>
      <c r="O246" s="106"/>
      <c r="P246" s="106"/>
      <c r="Q246" s="106"/>
      <c r="R246" s="88"/>
      <c r="S246" s="88"/>
      <c r="T246" s="88"/>
      <c r="U246" s="88"/>
      <c r="V246" s="88"/>
      <c r="W246" s="88"/>
      <c r="X246" s="106"/>
      <c r="Y246" s="106"/>
      <c r="Z246" s="107"/>
      <c r="AA246" s="34" t="s">
        <v>186</v>
      </c>
      <c r="AB246" s="17">
        <f t="shared" si="24"/>
        <v>0</v>
      </c>
      <c r="AC246" s="29">
        <v>60</v>
      </c>
      <c r="AD246" s="2">
        <f t="shared" si="22"/>
        <v>5</v>
      </c>
      <c r="AE246" s="2">
        <f t="shared" si="23"/>
        <v>0</v>
      </c>
      <c r="AG246" s="35"/>
    </row>
    <row r="247" spans="1:33" x14ac:dyDescent="0.35">
      <c r="A247" s="159">
        <v>35</v>
      </c>
      <c r="B247" s="135" t="s">
        <v>481</v>
      </c>
      <c r="C247" s="224" t="s">
        <v>341</v>
      </c>
      <c r="D247" s="175">
        <v>10</v>
      </c>
      <c r="E247" s="288"/>
      <c r="F247" s="88"/>
      <c r="G247" s="88"/>
      <c r="H247" s="88"/>
      <c r="I247" s="88"/>
      <c r="J247" s="88"/>
      <c r="K247" s="88"/>
      <c r="L247" s="88"/>
      <c r="M247" s="88"/>
      <c r="N247" s="88"/>
      <c r="O247" s="106"/>
      <c r="P247" s="106"/>
      <c r="Q247" s="106"/>
      <c r="R247" s="88"/>
      <c r="S247" s="88"/>
      <c r="T247" s="88"/>
      <c r="U247" s="88"/>
      <c r="V247" s="88"/>
      <c r="W247" s="88"/>
      <c r="X247" s="106"/>
      <c r="Y247" s="106"/>
      <c r="Z247" s="107"/>
      <c r="AA247" s="34" t="s">
        <v>186</v>
      </c>
      <c r="AB247" s="17">
        <f t="shared" si="24"/>
        <v>0</v>
      </c>
      <c r="AC247" s="29">
        <v>60</v>
      </c>
      <c r="AD247" s="2">
        <f t="shared" si="22"/>
        <v>5</v>
      </c>
      <c r="AE247" s="2">
        <f t="shared" si="23"/>
        <v>0</v>
      </c>
      <c r="AG247" s="35"/>
    </row>
    <row r="248" spans="1:33" x14ac:dyDescent="0.35">
      <c r="A248" s="159">
        <v>35</v>
      </c>
      <c r="B248" s="135" t="s">
        <v>482</v>
      </c>
      <c r="C248" s="224" t="s">
        <v>342</v>
      </c>
      <c r="D248" s="175">
        <v>10</v>
      </c>
      <c r="E248" s="288"/>
      <c r="F248" s="88"/>
      <c r="G248" s="88"/>
      <c r="H248" s="88"/>
      <c r="I248" s="88"/>
      <c r="J248" s="88"/>
      <c r="K248" s="88"/>
      <c r="L248" s="88"/>
      <c r="M248" s="88"/>
      <c r="N248" s="88"/>
      <c r="O248" s="106"/>
      <c r="P248" s="106"/>
      <c r="Q248" s="106"/>
      <c r="R248" s="88"/>
      <c r="S248" s="88"/>
      <c r="T248" s="88"/>
      <c r="U248" s="88"/>
      <c r="V248" s="88"/>
      <c r="W248" s="88"/>
      <c r="X248" s="106"/>
      <c r="Y248" s="106"/>
      <c r="Z248" s="107"/>
      <c r="AA248" s="34" t="s">
        <v>186</v>
      </c>
      <c r="AB248" s="17">
        <f t="shared" si="24"/>
        <v>0</v>
      </c>
      <c r="AC248" s="29">
        <v>60</v>
      </c>
      <c r="AD248" s="2">
        <f t="shared" si="22"/>
        <v>5</v>
      </c>
      <c r="AE248" s="2">
        <f t="shared" si="23"/>
        <v>0</v>
      </c>
      <c r="AG248" s="35"/>
    </row>
    <row r="249" spans="1:33" x14ac:dyDescent="0.35">
      <c r="A249" s="159">
        <v>35</v>
      </c>
      <c r="B249" s="135" t="s">
        <v>483</v>
      </c>
      <c r="C249" s="210" t="s">
        <v>190</v>
      </c>
      <c r="D249" s="175">
        <v>11</v>
      </c>
      <c r="E249" s="288"/>
      <c r="F249" s="88"/>
      <c r="G249" s="88"/>
      <c r="H249" s="88"/>
      <c r="I249" s="88"/>
      <c r="J249" s="88"/>
      <c r="K249" s="88"/>
      <c r="L249" s="88"/>
      <c r="M249" s="88"/>
      <c r="N249" s="88"/>
      <c r="O249" s="106"/>
      <c r="P249" s="106"/>
      <c r="Q249" s="106"/>
      <c r="R249" s="88"/>
      <c r="S249" s="88"/>
      <c r="T249" s="88"/>
      <c r="U249" s="88"/>
      <c r="V249" s="88"/>
      <c r="W249" s="88"/>
      <c r="X249" s="106"/>
      <c r="Y249" s="106"/>
      <c r="Z249" s="107"/>
      <c r="AA249" s="34" t="s">
        <v>186</v>
      </c>
      <c r="AB249" s="17">
        <f t="shared" si="24"/>
        <v>0</v>
      </c>
      <c r="AC249" s="29">
        <v>60</v>
      </c>
      <c r="AD249" s="2">
        <f t="shared" si="22"/>
        <v>5</v>
      </c>
      <c r="AE249" s="2">
        <f t="shared" si="23"/>
        <v>0</v>
      </c>
      <c r="AG249" s="35"/>
    </row>
    <row r="250" spans="1:33" x14ac:dyDescent="0.35">
      <c r="A250" s="159">
        <v>35</v>
      </c>
      <c r="B250" s="135" t="s">
        <v>480</v>
      </c>
      <c r="C250" s="210" t="s">
        <v>340</v>
      </c>
      <c r="D250" s="175">
        <v>10</v>
      </c>
      <c r="E250" s="288"/>
      <c r="F250" s="88"/>
      <c r="G250" s="88"/>
      <c r="H250" s="88"/>
      <c r="I250" s="88"/>
      <c r="J250" s="88"/>
      <c r="K250" s="88"/>
      <c r="L250" s="88"/>
      <c r="M250" s="88"/>
      <c r="N250" s="88"/>
      <c r="O250" s="106"/>
      <c r="P250" s="106"/>
      <c r="Q250" s="106"/>
      <c r="R250" s="88"/>
      <c r="S250" s="88"/>
      <c r="T250" s="88"/>
      <c r="U250" s="88"/>
      <c r="V250" s="88"/>
      <c r="W250" s="88"/>
      <c r="X250" s="106"/>
      <c r="Y250" s="106"/>
      <c r="Z250" s="107"/>
      <c r="AA250" s="34" t="s">
        <v>186</v>
      </c>
      <c r="AB250" s="17">
        <f t="shared" si="24"/>
        <v>0</v>
      </c>
      <c r="AC250" s="29">
        <v>60</v>
      </c>
      <c r="AD250" s="2">
        <f t="shared" si="22"/>
        <v>5</v>
      </c>
      <c r="AE250" s="2">
        <f t="shared" si="23"/>
        <v>0</v>
      </c>
      <c r="AG250" s="35"/>
    </row>
    <row r="251" spans="1:33" x14ac:dyDescent="0.35">
      <c r="A251" s="159">
        <v>35</v>
      </c>
      <c r="B251" s="135" t="s">
        <v>484</v>
      </c>
      <c r="C251" s="210" t="s">
        <v>349</v>
      </c>
      <c r="D251" s="175">
        <v>10</v>
      </c>
      <c r="E251" s="288"/>
      <c r="F251" s="88"/>
      <c r="G251" s="88"/>
      <c r="H251" s="88"/>
      <c r="I251" s="88"/>
      <c r="J251" s="88"/>
      <c r="K251" s="88"/>
      <c r="L251" s="88"/>
      <c r="M251" s="88"/>
      <c r="N251" s="88"/>
      <c r="O251" s="106"/>
      <c r="P251" s="106"/>
      <c r="Q251" s="106"/>
      <c r="R251" s="88"/>
      <c r="S251" s="88"/>
      <c r="T251" s="88"/>
      <c r="U251" s="88"/>
      <c r="V251" s="88"/>
      <c r="W251" s="88"/>
      <c r="X251" s="106"/>
      <c r="Y251" s="106"/>
      <c r="Z251" s="107"/>
      <c r="AA251" s="34" t="s">
        <v>186</v>
      </c>
      <c r="AB251" s="17">
        <f t="shared" si="24"/>
        <v>0</v>
      </c>
      <c r="AC251" s="29">
        <v>60</v>
      </c>
      <c r="AD251" s="2">
        <f t="shared" si="22"/>
        <v>5</v>
      </c>
      <c r="AE251" s="2">
        <f t="shared" si="23"/>
        <v>0</v>
      </c>
      <c r="AG251" s="35"/>
    </row>
    <row r="252" spans="1:33" x14ac:dyDescent="0.35">
      <c r="A252" s="159">
        <v>35</v>
      </c>
      <c r="B252" s="135" t="s">
        <v>485</v>
      </c>
      <c r="C252" s="210" t="s">
        <v>390</v>
      </c>
      <c r="D252" s="175">
        <v>11</v>
      </c>
      <c r="E252" s="288"/>
      <c r="F252" s="88"/>
      <c r="G252" s="88"/>
      <c r="H252" s="88"/>
      <c r="I252" s="88"/>
      <c r="J252" s="88"/>
      <c r="K252" s="88"/>
      <c r="L252" s="88"/>
      <c r="M252" s="88"/>
      <c r="N252" s="88"/>
      <c r="O252" s="106"/>
      <c r="P252" s="106"/>
      <c r="Q252" s="106"/>
      <c r="R252" s="88"/>
      <c r="S252" s="88"/>
      <c r="T252" s="88"/>
      <c r="U252" s="88"/>
      <c r="V252" s="88"/>
      <c r="W252" s="88"/>
      <c r="X252" s="106"/>
      <c r="Y252" s="106"/>
      <c r="Z252" s="107"/>
      <c r="AA252" s="34" t="s">
        <v>186</v>
      </c>
      <c r="AB252" s="17">
        <f t="shared" si="24"/>
        <v>0</v>
      </c>
      <c r="AC252" s="29">
        <v>60</v>
      </c>
      <c r="AD252" s="2">
        <f t="shared" si="22"/>
        <v>5</v>
      </c>
      <c r="AE252" s="2">
        <f t="shared" si="23"/>
        <v>0</v>
      </c>
      <c r="AG252" s="35"/>
    </row>
    <row r="253" spans="1:33" x14ac:dyDescent="0.35">
      <c r="A253" s="159">
        <v>35</v>
      </c>
      <c r="B253" s="146" t="s">
        <v>486</v>
      </c>
      <c r="C253" s="224" t="s">
        <v>191</v>
      </c>
      <c r="D253" s="187">
        <v>11</v>
      </c>
      <c r="E253" s="288"/>
      <c r="F253" s="88"/>
      <c r="G253" s="88"/>
      <c r="H253" s="88"/>
      <c r="I253" s="88"/>
      <c r="J253" s="88"/>
      <c r="K253" s="88"/>
      <c r="L253" s="88"/>
      <c r="M253" s="88"/>
      <c r="N253" s="88"/>
      <c r="O253" s="106"/>
      <c r="P253" s="106"/>
      <c r="Q253" s="106"/>
      <c r="R253" s="88"/>
      <c r="S253" s="88"/>
      <c r="T253" s="88"/>
      <c r="U253" s="88"/>
      <c r="V253" s="88"/>
      <c r="W253" s="88"/>
      <c r="X253" s="106"/>
      <c r="Y253" s="106"/>
      <c r="Z253" s="107"/>
      <c r="AA253" s="34" t="s">
        <v>186</v>
      </c>
      <c r="AB253" s="17">
        <f t="shared" si="24"/>
        <v>0</v>
      </c>
      <c r="AC253" s="29">
        <v>60</v>
      </c>
      <c r="AD253" s="2">
        <f t="shared" si="22"/>
        <v>5</v>
      </c>
      <c r="AE253" s="2">
        <f t="shared" si="23"/>
        <v>0</v>
      </c>
      <c r="AG253" s="35"/>
    </row>
    <row r="254" spans="1:33" x14ac:dyDescent="0.35">
      <c r="A254" s="159">
        <v>35</v>
      </c>
      <c r="B254" s="135" t="s">
        <v>487</v>
      </c>
      <c r="C254" s="210" t="s">
        <v>311</v>
      </c>
      <c r="D254" s="175">
        <v>11</v>
      </c>
      <c r="E254" s="288"/>
      <c r="F254" s="88"/>
      <c r="G254" s="88"/>
      <c r="H254" s="88"/>
      <c r="I254" s="88"/>
      <c r="J254" s="88"/>
      <c r="K254" s="88"/>
      <c r="L254" s="88"/>
      <c r="M254" s="88"/>
      <c r="N254" s="88"/>
      <c r="O254" s="106"/>
      <c r="P254" s="106"/>
      <c r="Q254" s="106"/>
      <c r="R254" s="88"/>
      <c r="S254" s="257"/>
      <c r="T254" s="88"/>
      <c r="U254" s="88"/>
      <c r="V254" s="257"/>
      <c r="W254" s="88"/>
      <c r="X254" s="106"/>
      <c r="Y254" s="106"/>
      <c r="Z254" s="107"/>
      <c r="AA254" s="34" t="s">
        <v>186</v>
      </c>
      <c r="AB254" s="17">
        <f t="shared" si="24"/>
        <v>0</v>
      </c>
      <c r="AC254" s="29">
        <v>60</v>
      </c>
      <c r="AD254" s="2">
        <f t="shared" si="22"/>
        <v>5</v>
      </c>
      <c r="AE254" s="2">
        <f t="shared" si="23"/>
        <v>0</v>
      </c>
      <c r="AG254" s="35"/>
    </row>
    <row r="255" spans="1:33" x14ac:dyDescent="0.35">
      <c r="A255" s="159">
        <v>35</v>
      </c>
      <c r="B255" s="135" t="s">
        <v>488</v>
      </c>
      <c r="C255" s="210" t="s">
        <v>285</v>
      </c>
      <c r="D255" s="175">
        <v>11</v>
      </c>
      <c r="E255" s="288"/>
      <c r="F255" s="88"/>
      <c r="G255" s="88"/>
      <c r="H255" s="88"/>
      <c r="I255" s="88"/>
      <c r="J255" s="88"/>
      <c r="K255" s="88"/>
      <c r="L255" s="88"/>
      <c r="M255" s="88"/>
      <c r="N255" s="88"/>
      <c r="O255" s="106"/>
      <c r="P255" s="106"/>
      <c r="Q255" s="106"/>
      <c r="R255" s="88"/>
      <c r="S255" s="88"/>
      <c r="T255" s="88"/>
      <c r="U255" s="88"/>
      <c r="V255" s="88"/>
      <c r="W255" s="88"/>
      <c r="X255" s="106"/>
      <c r="Y255" s="106"/>
      <c r="Z255" s="107"/>
      <c r="AA255" s="34" t="s">
        <v>186</v>
      </c>
      <c r="AB255" s="17">
        <f t="shared" si="24"/>
        <v>0</v>
      </c>
      <c r="AC255" s="29">
        <v>60</v>
      </c>
      <c r="AD255" s="2">
        <f t="shared" si="22"/>
        <v>5</v>
      </c>
      <c r="AE255" s="2">
        <f t="shared" si="23"/>
        <v>0</v>
      </c>
      <c r="AG255" s="35"/>
    </row>
    <row r="256" spans="1:33" x14ac:dyDescent="0.35">
      <c r="A256" s="159">
        <v>35</v>
      </c>
      <c r="B256" s="135" t="s">
        <v>489</v>
      </c>
      <c r="C256" s="210" t="s">
        <v>279</v>
      </c>
      <c r="D256" s="175">
        <v>11</v>
      </c>
      <c r="E256" s="288"/>
      <c r="F256" s="88"/>
      <c r="G256" s="88"/>
      <c r="H256" s="88"/>
      <c r="I256" s="88"/>
      <c r="J256" s="88"/>
      <c r="K256" s="88"/>
      <c r="L256" s="88"/>
      <c r="M256" s="88"/>
      <c r="N256" s="88"/>
      <c r="O256" s="106"/>
      <c r="P256" s="106"/>
      <c r="Q256" s="106"/>
      <c r="R256" s="88"/>
      <c r="S256" s="88"/>
      <c r="T256" s="88"/>
      <c r="U256" s="88"/>
      <c r="V256" s="88"/>
      <c r="W256" s="88"/>
      <c r="X256" s="106"/>
      <c r="Y256" s="106"/>
      <c r="Z256" s="107"/>
      <c r="AA256" s="34" t="s">
        <v>186</v>
      </c>
      <c r="AB256" s="17">
        <f t="shared" si="24"/>
        <v>0</v>
      </c>
      <c r="AC256" s="29">
        <v>60</v>
      </c>
      <c r="AD256" s="2">
        <f t="shared" si="22"/>
        <v>5</v>
      </c>
      <c r="AE256" s="2">
        <f t="shared" si="23"/>
        <v>0</v>
      </c>
      <c r="AG256" s="35"/>
    </row>
    <row r="257" spans="1:33" x14ac:dyDescent="0.35">
      <c r="A257" s="159">
        <v>35</v>
      </c>
      <c r="B257" s="135" t="s">
        <v>429</v>
      </c>
      <c r="C257" s="232" t="s">
        <v>404</v>
      </c>
      <c r="D257" s="175">
        <v>11</v>
      </c>
      <c r="E257" s="288"/>
      <c r="F257" s="88"/>
      <c r="G257" s="91"/>
      <c r="H257" s="88"/>
      <c r="I257" s="88"/>
      <c r="J257" s="91"/>
      <c r="K257" s="88"/>
      <c r="L257" s="88"/>
      <c r="M257" s="88"/>
      <c r="N257" s="88"/>
      <c r="O257" s="106"/>
      <c r="P257" s="106"/>
      <c r="Q257" s="106"/>
      <c r="R257" s="88"/>
      <c r="S257" s="88"/>
      <c r="T257" s="88"/>
      <c r="U257" s="88"/>
      <c r="V257" s="88"/>
      <c r="W257" s="88"/>
      <c r="X257" s="106"/>
      <c r="Y257" s="106"/>
      <c r="Z257" s="107"/>
      <c r="AA257" s="34" t="s">
        <v>350</v>
      </c>
      <c r="AB257" s="17">
        <f t="shared" si="24"/>
        <v>0</v>
      </c>
      <c r="AC257" s="29">
        <v>60</v>
      </c>
      <c r="AD257" s="2">
        <f t="shared" si="22"/>
        <v>5</v>
      </c>
      <c r="AE257" s="2">
        <f t="shared" si="23"/>
        <v>0</v>
      </c>
      <c r="AG257" s="35"/>
    </row>
    <row r="258" spans="1:33" x14ac:dyDescent="0.35">
      <c r="A258" s="159">
        <v>35</v>
      </c>
      <c r="B258" s="135" t="s">
        <v>430</v>
      </c>
      <c r="C258" s="232" t="s">
        <v>405</v>
      </c>
      <c r="D258" s="175">
        <v>11</v>
      </c>
      <c r="E258" s="288"/>
      <c r="F258" s="88"/>
      <c r="G258" s="91"/>
      <c r="H258" s="88"/>
      <c r="I258" s="88"/>
      <c r="J258" s="88"/>
      <c r="K258" s="88"/>
      <c r="L258" s="88"/>
      <c r="M258" s="88"/>
      <c r="N258" s="88"/>
      <c r="O258" s="106"/>
      <c r="P258" s="106"/>
      <c r="Q258" s="106"/>
      <c r="R258" s="88"/>
      <c r="S258" s="88"/>
      <c r="T258" s="88"/>
      <c r="U258" s="88"/>
      <c r="V258" s="88"/>
      <c r="W258" s="88"/>
      <c r="X258" s="106"/>
      <c r="Y258" s="106"/>
      <c r="Z258" s="107"/>
      <c r="AA258" s="34" t="s">
        <v>350</v>
      </c>
      <c r="AB258" s="17">
        <f t="shared" si="24"/>
        <v>0</v>
      </c>
      <c r="AC258" s="29">
        <v>60</v>
      </c>
      <c r="AD258" s="2">
        <f t="shared" si="22"/>
        <v>5</v>
      </c>
      <c r="AE258" s="2">
        <f t="shared" si="23"/>
        <v>0</v>
      </c>
      <c r="AG258" s="35"/>
    </row>
    <row r="259" spans="1:33" x14ac:dyDescent="0.35">
      <c r="A259" s="159">
        <v>35</v>
      </c>
      <c r="B259" s="135" t="s">
        <v>431</v>
      </c>
      <c r="C259" s="232" t="s">
        <v>406</v>
      </c>
      <c r="D259" s="175">
        <v>11</v>
      </c>
      <c r="E259" s="288"/>
      <c r="F259" s="88"/>
      <c r="G259" s="91"/>
      <c r="H259" s="88"/>
      <c r="I259" s="88"/>
      <c r="J259" s="88"/>
      <c r="K259" s="88"/>
      <c r="L259" s="88"/>
      <c r="M259" s="88"/>
      <c r="N259" s="88"/>
      <c r="O259" s="106"/>
      <c r="P259" s="106"/>
      <c r="Q259" s="106"/>
      <c r="R259" s="88"/>
      <c r="S259" s="88"/>
      <c r="T259" s="88"/>
      <c r="U259" s="88"/>
      <c r="V259" s="88"/>
      <c r="W259" s="88"/>
      <c r="X259" s="106"/>
      <c r="Y259" s="106"/>
      <c r="Z259" s="107"/>
      <c r="AA259" s="34" t="s">
        <v>350</v>
      </c>
      <c r="AB259" s="17">
        <f t="shared" si="24"/>
        <v>0</v>
      </c>
      <c r="AC259" s="29">
        <v>60</v>
      </c>
      <c r="AD259" s="2">
        <f t="shared" ref="AD259:AD324" si="27">AC259/12</f>
        <v>5</v>
      </c>
      <c r="AE259" s="2">
        <f t="shared" ref="AE259:AE325" si="28">ROUND(IFERROR(AB259/D259,0),)</f>
        <v>0</v>
      </c>
      <c r="AG259" s="35"/>
    </row>
    <row r="260" spans="1:33" x14ac:dyDescent="0.35">
      <c r="A260" s="159">
        <v>35</v>
      </c>
      <c r="B260" s="135" t="s">
        <v>432</v>
      </c>
      <c r="C260" s="232" t="s">
        <v>407</v>
      </c>
      <c r="D260" s="182" t="s">
        <v>457</v>
      </c>
      <c r="E260" s="288"/>
      <c r="F260" s="88"/>
      <c r="G260" s="91"/>
      <c r="H260" s="88"/>
      <c r="I260" s="88"/>
      <c r="J260" s="88"/>
      <c r="K260" s="88"/>
      <c r="L260" s="88"/>
      <c r="M260" s="88"/>
      <c r="N260" s="88"/>
      <c r="O260" s="106"/>
      <c r="P260" s="106"/>
      <c r="Q260" s="106"/>
      <c r="R260" s="258"/>
      <c r="S260" s="88"/>
      <c r="T260" s="88"/>
      <c r="U260" s="88"/>
      <c r="V260" s="88"/>
      <c r="W260" s="88"/>
      <c r="X260" s="106"/>
      <c r="Y260" s="106"/>
      <c r="Z260" s="107"/>
      <c r="AA260" s="34" t="s">
        <v>350</v>
      </c>
      <c r="AB260" s="17">
        <f t="shared" si="24"/>
        <v>0</v>
      </c>
      <c r="AC260" s="29">
        <v>60</v>
      </c>
      <c r="AD260" s="2">
        <f t="shared" si="27"/>
        <v>5</v>
      </c>
      <c r="AE260" s="2">
        <f t="shared" si="28"/>
        <v>0</v>
      </c>
      <c r="AG260" s="35"/>
    </row>
    <row r="261" spans="1:33" x14ac:dyDescent="0.35">
      <c r="A261" s="159">
        <v>35</v>
      </c>
      <c r="B261" s="135" t="s">
        <v>433</v>
      </c>
      <c r="C261" s="232" t="s">
        <v>414</v>
      </c>
      <c r="D261" s="175">
        <v>11</v>
      </c>
      <c r="E261" s="288"/>
      <c r="F261" s="88"/>
      <c r="G261" s="88"/>
      <c r="H261" s="88"/>
      <c r="I261" s="88"/>
      <c r="J261" s="88"/>
      <c r="K261" s="88"/>
      <c r="L261" s="88"/>
      <c r="M261" s="88"/>
      <c r="N261" s="88"/>
      <c r="O261" s="106"/>
      <c r="P261" s="106"/>
      <c r="Q261" s="106"/>
      <c r="R261" s="88"/>
      <c r="S261" s="88"/>
      <c r="T261" s="88"/>
      <c r="U261" s="88"/>
      <c r="V261" s="88"/>
      <c r="W261" s="88"/>
      <c r="X261" s="106"/>
      <c r="Y261" s="106"/>
      <c r="Z261" s="107"/>
      <c r="AA261" s="34" t="s">
        <v>350</v>
      </c>
      <c r="AB261" s="17">
        <f t="shared" si="24"/>
        <v>0</v>
      </c>
      <c r="AC261" s="29">
        <v>60</v>
      </c>
      <c r="AD261" s="2">
        <f t="shared" si="27"/>
        <v>5</v>
      </c>
      <c r="AE261" s="2">
        <f t="shared" si="28"/>
        <v>0</v>
      </c>
      <c r="AG261" s="35"/>
    </row>
    <row r="262" spans="1:33" x14ac:dyDescent="0.35">
      <c r="A262" s="159">
        <v>35</v>
      </c>
      <c r="B262" s="135" t="s">
        <v>434</v>
      </c>
      <c r="C262" s="232" t="s">
        <v>415</v>
      </c>
      <c r="D262" s="175">
        <v>11</v>
      </c>
      <c r="E262" s="288"/>
      <c r="F262" s="88"/>
      <c r="G262" s="88"/>
      <c r="H262" s="88"/>
      <c r="I262" s="88"/>
      <c r="J262" s="88"/>
      <c r="K262" s="88"/>
      <c r="L262" s="88"/>
      <c r="M262" s="88"/>
      <c r="N262" s="88"/>
      <c r="O262" s="106"/>
      <c r="P262" s="106"/>
      <c r="Q262" s="106"/>
      <c r="R262" s="88"/>
      <c r="S262" s="88"/>
      <c r="T262" s="88"/>
      <c r="U262" s="88"/>
      <c r="V262" s="88"/>
      <c r="W262" s="88"/>
      <c r="X262" s="106"/>
      <c r="Y262" s="106"/>
      <c r="Z262" s="107"/>
      <c r="AA262" s="34" t="s">
        <v>350</v>
      </c>
      <c r="AB262" s="17">
        <f t="shared" si="24"/>
        <v>0</v>
      </c>
      <c r="AC262" s="29">
        <v>60</v>
      </c>
      <c r="AD262" s="2">
        <f t="shared" si="27"/>
        <v>5</v>
      </c>
      <c r="AE262" s="2">
        <f t="shared" si="28"/>
        <v>0</v>
      </c>
      <c r="AG262" s="35"/>
    </row>
    <row r="263" spans="1:33" x14ac:dyDescent="0.35">
      <c r="A263" s="159">
        <v>35</v>
      </c>
      <c r="B263" s="135" t="s">
        <v>435</v>
      </c>
      <c r="C263" s="232" t="s">
        <v>416</v>
      </c>
      <c r="D263" s="175">
        <v>11</v>
      </c>
      <c r="E263" s="288"/>
      <c r="F263" s="88"/>
      <c r="G263" s="88"/>
      <c r="H263" s="88"/>
      <c r="I263" s="88"/>
      <c r="J263" s="88"/>
      <c r="K263" s="88"/>
      <c r="L263" s="88"/>
      <c r="M263" s="88"/>
      <c r="N263" s="88"/>
      <c r="O263" s="106"/>
      <c r="P263" s="106"/>
      <c r="Q263" s="106"/>
      <c r="R263" s="88"/>
      <c r="S263" s="88"/>
      <c r="T263" s="88"/>
      <c r="U263" s="88"/>
      <c r="V263" s="88"/>
      <c r="W263" s="88"/>
      <c r="X263" s="106"/>
      <c r="Y263" s="106"/>
      <c r="Z263" s="107"/>
      <c r="AA263" s="34" t="s">
        <v>350</v>
      </c>
      <c r="AB263" s="17">
        <f t="shared" si="24"/>
        <v>0</v>
      </c>
      <c r="AC263" s="29">
        <v>60</v>
      </c>
      <c r="AD263" s="2">
        <f t="shared" si="27"/>
        <v>5</v>
      </c>
      <c r="AE263" s="2">
        <f t="shared" si="28"/>
        <v>0</v>
      </c>
      <c r="AG263" s="35"/>
    </row>
    <row r="264" spans="1:33" x14ac:dyDescent="0.35">
      <c r="A264" s="159">
        <v>35</v>
      </c>
      <c r="B264" s="135" t="s">
        <v>436</v>
      </c>
      <c r="C264" s="232" t="s">
        <v>417</v>
      </c>
      <c r="D264" s="175">
        <v>11</v>
      </c>
      <c r="E264" s="288"/>
      <c r="F264" s="88"/>
      <c r="G264" s="88"/>
      <c r="H264" s="88"/>
      <c r="I264" s="88"/>
      <c r="J264" s="88"/>
      <c r="K264" s="88"/>
      <c r="L264" s="88"/>
      <c r="M264" s="88"/>
      <c r="N264" s="88"/>
      <c r="O264" s="106"/>
      <c r="P264" s="106"/>
      <c r="Q264" s="106"/>
      <c r="R264" s="88"/>
      <c r="S264" s="88"/>
      <c r="T264" s="88"/>
      <c r="U264" s="88"/>
      <c r="V264" s="88"/>
      <c r="W264" s="88"/>
      <c r="X264" s="106"/>
      <c r="Y264" s="106"/>
      <c r="Z264" s="107"/>
      <c r="AA264" s="34" t="s">
        <v>350</v>
      </c>
      <c r="AB264" s="17">
        <f t="shared" ref="AB264:AB328" si="29">SUM(F264:Z264)</f>
        <v>0</v>
      </c>
      <c r="AC264" s="29">
        <v>60</v>
      </c>
      <c r="AD264" s="2">
        <f t="shared" si="27"/>
        <v>5</v>
      </c>
      <c r="AE264" s="2">
        <f t="shared" si="28"/>
        <v>0</v>
      </c>
      <c r="AG264" s="35"/>
    </row>
    <row r="265" spans="1:33" x14ac:dyDescent="0.35">
      <c r="A265" s="159">
        <v>35</v>
      </c>
      <c r="B265" s="135" t="s">
        <v>437</v>
      </c>
      <c r="C265" s="232" t="s">
        <v>408</v>
      </c>
      <c r="D265" s="175">
        <v>11</v>
      </c>
      <c r="E265" s="288"/>
      <c r="F265" s="88"/>
      <c r="G265" s="88"/>
      <c r="H265" s="88"/>
      <c r="I265" s="88"/>
      <c r="J265" s="88"/>
      <c r="K265" s="88"/>
      <c r="L265" s="88"/>
      <c r="M265" s="88"/>
      <c r="N265" s="88"/>
      <c r="O265" s="106"/>
      <c r="P265" s="106"/>
      <c r="Q265" s="106"/>
      <c r="R265" s="88"/>
      <c r="S265" s="88"/>
      <c r="T265" s="88"/>
      <c r="U265" s="88"/>
      <c r="V265" s="88"/>
      <c r="W265" s="88"/>
      <c r="X265" s="106"/>
      <c r="Y265" s="106"/>
      <c r="Z265" s="107"/>
      <c r="AA265" s="34" t="s">
        <v>350</v>
      </c>
      <c r="AB265" s="17">
        <f t="shared" si="29"/>
        <v>0</v>
      </c>
      <c r="AC265" s="29">
        <v>60</v>
      </c>
      <c r="AD265" s="2">
        <f t="shared" si="27"/>
        <v>5</v>
      </c>
      <c r="AE265" s="2">
        <f t="shared" si="28"/>
        <v>0</v>
      </c>
      <c r="AG265" s="35"/>
    </row>
    <row r="266" spans="1:33" x14ac:dyDescent="0.35">
      <c r="A266" s="159">
        <v>35</v>
      </c>
      <c r="B266" s="135" t="s">
        <v>438</v>
      </c>
      <c r="C266" s="232" t="s">
        <v>409</v>
      </c>
      <c r="D266" s="175">
        <v>11</v>
      </c>
      <c r="E266" s="288"/>
      <c r="F266" s="88"/>
      <c r="G266" s="88"/>
      <c r="H266" s="88">
        <v>45</v>
      </c>
      <c r="I266" s="88"/>
      <c r="J266" s="88"/>
      <c r="K266" s="88"/>
      <c r="L266" s="88"/>
      <c r="M266" s="88"/>
      <c r="N266" s="88"/>
      <c r="O266" s="106"/>
      <c r="P266" s="106"/>
      <c r="Q266" s="106"/>
      <c r="R266" s="88"/>
      <c r="S266" s="88"/>
      <c r="T266" s="88"/>
      <c r="U266" s="88"/>
      <c r="V266" s="88"/>
      <c r="W266" s="88"/>
      <c r="X266" s="106"/>
      <c r="Y266" s="106"/>
      <c r="Z266" s="107"/>
      <c r="AA266" s="34" t="s">
        <v>350</v>
      </c>
      <c r="AB266" s="17">
        <f t="shared" si="29"/>
        <v>45</v>
      </c>
      <c r="AC266" s="29">
        <v>60</v>
      </c>
      <c r="AD266" s="2">
        <f t="shared" si="27"/>
        <v>5</v>
      </c>
      <c r="AE266" s="2">
        <f t="shared" si="28"/>
        <v>4</v>
      </c>
      <c r="AG266" s="35"/>
    </row>
    <row r="267" spans="1:33" x14ac:dyDescent="0.35">
      <c r="A267" s="159">
        <v>35</v>
      </c>
      <c r="B267" s="135" t="s">
        <v>439</v>
      </c>
      <c r="C267" s="232" t="s">
        <v>410</v>
      </c>
      <c r="D267" s="175">
        <v>11</v>
      </c>
      <c r="E267" s="288"/>
      <c r="F267" s="88"/>
      <c r="G267" s="88"/>
      <c r="H267" s="88">
        <v>15</v>
      </c>
      <c r="I267" s="88"/>
      <c r="J267" s="88"/>
      <c r="K267" s="88"/>
      <c r="L267" s="88"/>
      <c r="M267" s="88"/>
      <c r="N267" s="88"/>
      <c r="O267" s="106"/>
      <c r="P267" s="106"/>
      <c r="Q267" s="106"/>
      <c r="R267" s="88"/>
      <c r="S267" s="88"/>
      <c r="T267" s="88"/>
      <c r="U267" s="88"/>
      <c r="V267" s="88"/>
      <c r="W267" s="88"/>
      <c r="X267" s="106"/>
      <c r="Y267" s="106"/>
      <c r="Z267" s="107"/>
      <c r="AA267" s="34" t="s">
        <v>350</v>
      </c>
      <c r="AB267" s="17">
        <f t="shared" si="29"/>
        <v>15</v>
      </c>
      <c r="AC267" s="29">
        <v>60</v>
      </c>
      <c r="AD267" s="2">
        <f t="shared" si="27"/>
        <v>5</v>
      </c>
      <c r="AE267" s="2">
        <f t="shared" si="28"/>
        <v>1</v>
      </c>
      <c r="AG267" s="35"/>
    </row>
    <row r="268" spans="1:33" x14ac:dyDescent="0.35">
      <c r="A268" s="159">
        <v>35</v>
      </c>
      <c r="B268" s="135" t="s">
        <v>440</v>
      </c>
      <c r="C268" s="232" t="s">
        <v>411</v>
      </c>
      <c r="D268" s="175">
        <v>11</v>
      </c>
      <c r="E268" s="288"/>
      <c r="F268" s="88"/>
      <c r="G268" s="88"/>
      <c r="H268" s="88"/>
      <c r="I268" s="88"/>
      <c r="J268" s="88"/>
      <c r="K268" s="88"/>
      <c r="L268" s="88"/>
      <c r="M268" s="88"/>
      <c r="N268" s="88"/>
      <c r="O268" s="106"/>
      <c r="P268" s="106"/>
      <c r="Q268" s="106"/>
      <c r="R268" s="88"/>
      <c r="S268" s="88"/>
      <c r="T268" s="88"/>
      <c r="U268" s="88"/>
      <c r="V268" s="88"/>
      <c r="W268" s="88"/>
      <c r="X268" s="106"/>
      <c r="Y268" s="106"/>
      <c r="Z268" s="107"/>
      <c r="AA268" s="34" t="s">
        <v>350</v>
      </c>
      <c r="AB268" s="17">
        <f t="shared" si="29"/>
        <v>0</v>
      </c>
      <c r="AC268" s="29">
        <v>60</v>
      </c>
      <c r="AD268" s="2">
        <f t="shared" si="27"/>
        <v>5</v>
      </c>
      <c r="AE268" s="2">
        <f t="shared" si="28"/>
        <v>0</v>
      </c>
      <c r="AG268" s="35"/>
    </row>
    <row r="269" spans="1:33" x14ac:dyDescent="0.35">
      <c r="A269" s="159">
        <v>35</v>
      </c>
      <c r="B269" s="135" t="s">
        <v>441</v>
      </c>
      <c r="C269" s="232" t="s">
        <v>412</v>
      </c>
      <c r="D269" s="175">
        <v>11</v>
      </c>
      <c r="E269" s="288"/>
      <c r="F269" s="88"/>
      <c r="G269" s="88">
        <v>41</v>
      </c>
      <c r="H269" s="88">
        <v>2</v>
      </c>
      <c r="I269" s="88"/>
      <c r="J269" s="88">
        <v>41</v>
      </c>
      <c r="K269" s="88">
        <v>82</v>
      </c>
      <c r="L269" s="88"/>
      <c r="M269" s="88">
        <v>41</v>
      </c>
      <c r="N269" s="88">
        <v>82</v>
      </c>
      <c r="O269" s="106"/>
      <c r="P269" s="106"/>
      <c r="Q269" s="108"/>
      <c r="R269" s="88"/>
      <c r="S269" s="88">
        <v>41</v>
      </c>
      <c r="T269" s="91">
        <v>10</v>
      </c>
      <c r="U269" s="91"/>
      <c r="V269" s="88"/>
      <c r="W269" s="88"/>
      <c r="X269" s="106"/>
      <c r="Y269" s="106"/>
      <c r="Z269" s="107"/>
      <c r="AA269" s="34" t="s">
        <v>350</v>
      </c>
      <c r="AB269" s="17">
        <f t="shared" si="29"/>
        <v>340</v>
      </c>
      <c r="AC269" s="29">
        <v>60</v>
      </c>
      <c r="AD269" s="2">
        <f t="shared" si="27"/>
        <v>5</v>
      </c>
      <c r="AE269" s="2">
        <f t="shared" si="28"/>
        <v>31</v>
      </c>
      <c r="AG269" s="35"/>
    </row>
    <row r="270" spans="1:33" ht="15" thickBot="1" x14ac:dyDescent="0.4">
      <c r="A270" s="161">
        <v>35</v>
      </c>
      <c r="B270" s="261" t="s">
        <v>442</v>
      </c>
      <c r="C270" s="232" t="s">
        <v>413</v>
      </c>
      <c r="D270" s="174">
        <v>11</v>
      </c>
      <c r="E270" s="289"/>
      <c r="F270" s="92"/>
      <c r="G270" s="92"/>
      <c r="H270" s="92">
        <v>20</v>
      </c>
      <c r="I270" s="92"/>
      <c r="J270" s="92"/>
      <c r="K270" s="92"/>
      <c r="L270" s="92"/>
      <c r="M270" s="92"/>
      <c r="N270" s="92"/>
      <c r="O270" s="112"/>
      <c r="P270" s="112"/>
      <c r="Q270" s="112"/>
      <c r="R270" s="92"/>
      <c r="S270" s="92"/>
      <c r="T270" s="92">
        <v>72</v>
      </c>
      <c r="U270" s="92"/>
      <c r="V270" s="92"/>
      <c r="W270" s="92">
        <v>82</v>
      </c>
      <c r="X270" s="110"/>
      <c r="Y270" s="110"/>
      <c r="Z270" s="111"/>
      <c r="AA270" s="34" t="s">
        <v>350</v>
      </c>
      <c r="AB270" s="17">
        <f t="shared" si="29"/>
        <v>174</v>
      </c>
      <c r="AC270" s="29">
        <v>60</v>
      </c>
      <c r="AD270" s="2">
        <f t="shared" si="27"/>
        <v>5</v>
      </c>
      <c r="AE270" s="2">
        <f t="shared" si="28"/>
        <v>16</v>
      </c>
      <c r="AG270" s="35"/>
    </row>
    <row r="271" spans="1:33" x14ac:dyDescent="0.35">
      <c r="A271" s="157">
        <v>37</v>
      </c>
      <c r="B271" s="131" t="s">
        <v>192</v>
      </c>
      <c r="C271" s="206" t="s">
        <v>193</v>
      </c>
      <c r="D271" s="172">
        <v>11</v>
      </c>
      <c r="E271" s="287"/>
      <c r="F271" s="87"/>
      <c r="G271" s="87"/>
      <c r="H271" s="87"/>
      <c r="I271" s="87"/>
      <c r="J271" s="87"/>
      <c r="K271" s="87"/>
      <c r="L271" s="87"/>
      <c r="M271" s="87"/>
      <c r="N271" s="87"/>
      <c r="O271" s="102"/>
      <c r="P271" s="102"/>
      <c r="Q271" s="102"/>
      <c r="R271" s="87"/>
      <c r="S271" s="87"/>
      <c r="T271" s="87"/>
      <c r="U271" s="87"/>
      <c r="V271" s="87"/>
      <c r="W271" s="87"/>
      <c r="X271" s="102"/>
      <c r="Y271" s="102"/>
      <c r="Z271" s="103"/>
      <c r="AA271" s="34" t="s">
        <v>194</v>
      </c>
      <c r="AB271" s="17">
        <f t="shared" si="29"/>
        <v>0</v>
      </c>
      <c r="AC271" s="29">
        <v>84</v>
      </c>
      <c r="AD271" s="2">
        <f t="shared" si="27"/>
        <v>7</v>
      </c>
      <c r="AE271" s="2">
        <f t="shared" si="28"/>
        <v>0</v>
      </c>
      <c r="AG271" s="35"/>
    </row>
    <row r="272" spans="1:33" x14ac:dyDescent="0.35">
      <c r="A272" s="159">
        <v>37</v>
      </c>
      <c r="B272" s="132" t="s">
        <v>192</v>
      </c>
      <c r="C272" s="207" t="s">
        <v>355</v>
      </c>
      <c r="D272" s="171">
        <v>11</v>
      </c>
      <c r="E272" s="290"/>
      <c r="F272" s="88"/>
      <c r="G272" s="88"/>
      <c r="H272" s="88"/>
      <c r="I272" s="88"/>
      <c r="J272" s="88"/>
      <c r="K272" s="88"/>
      <c r="L272" s="88"/>
      <c r="M272" s="88"/>
      <c r="N272" s="88"/>
      <c r="O272" s="106"/>
      <c r="P272" s="106"/>
      <c r="Q272" s="106"/>
      <c r="R272" s="88"/>
      <c r="S272" s="88"/>
      <c r="T272" s="88"/>
      <c r="U272" s="88"/>
      <c r="V272" s="88"/>
      <c r="W272" s="88"/>
      <c r="X272" s="106"/>
      <c r="Y272" s="106"/>
      <c r="Z272" s="107"/>
      <c r="AA272" s="34" t="s">
        <v>194</v>
      </c>
      <c r="AB272" s="17">
        <f t="shared" si="29"/>
        <v>0</v>
      </c>
      <c r="AC272" s="29">
        <v>84</v>
      </c>
      <c r="AD272" s="2">
        <f t="shared" si="27"/>
        <v>7</v>
      </c>
      <c r="AE272" s="2">
        <f t="shared" si="28"/>
        <v>0</v>
      </c>
      <c r="AG272" s="35"/>
    </row>
    <row r="273" spans="1:33" x14ac:dyDescent="0.35">
      <c r="A273" s="159">
        <v>37</v>
      </c>
      <c r="B273" s="132" t="s">
        <v>192</v>
      </c>
      <c r="C273" s="207" t="s">
        <v>502</v>
      </c>
      <c r="D273" s="171">
        <v>11</v>
      </c>
      <c r="E273" s="290"/>
      <c r="F273" s="88"/>
      <c r="G273" s="88"/>
      <c r="H273" s="88"/>
      <c r="I273" s="88"/>
      <c r="J273" s="88"/>
      <c r="K273" s="88"/>
      <c r="L273" s="88"/>
      <c r="M273" s="88"/>
      <c r="N273" s="88"/>
      <c r="O273" s="106"/>
      <c r="P273" s="106"/>
      <c r="Q273" s="106"/>
      <c r="R273" s="88"/>
      <c r="S273" s="88"/>
      <c r="T273" s="88"/>
      <c r="U273" s="88"/>
      <c r="V273" s="88"/>
      <c r="W273" s="88"/>
      <c r="X273" s="106"/>
      <c r="Y273" s="106"/>
      <c r="Z273" s="107"/>
      <c r="AA273" s="34" t="s">
        <v>194</v>
      </c>
      <c r="AB273" s="17">
        <f t="shared" ref="AB273" si="30">SUM(F273:Z273)</f>
        <v>0</v>
      </c>
      <c r="AC273" s="29">
        <v>84</v>
      </c>
      <c r="AD273" s="2">
        <f t="shared" ref="AD273" si="31">AC273/12</f>
        <v>7</v>
      </c>
      <c r="AE273" s="2">
        <f t="shared" ref="AE273" si="32">ROUND(IFERROR(AB273/D273,0),)</f>
        <v>0</v>
      </c>
      <c r="AG273" s="35"/>
    </row>
    <row r="274" spans="1:33" x14ac:dyDescent="0.35">
      <c r="A274" s="159">
        <v>37</v>
      </c>
      <c r="B274" s="132" t="s">
        <v>192</v>
      </c>
      <c r="C274" s="207" t="s">
        <v>195</v>
      </c>
      <c r="D274" s="171">
        <v>11</v>
      </c>
      <c r="E274" s="290"/>
      <c r="F274" s="88"/>
      <c r="G274" s="88"/>
      <c r="H274" s="88"/>
      <c r="I274" s="88"/>
      <c r="J274" s="88"/>
      <c r="K274" s="88"/>
      <c r="L274" s="88"/>
      <c r="M274" s="88"/>
      <c r="N274" s="88"/>
      <c r="O274" s="106"/>
      <c r="P274" s="106"/>
      <c r="Q274" s="106"/>
      <c r="R274" s="88"/>
      <c r="S274" s="88"/>
      <c r="T274" s="88"/>
      <c r="U274" s="88"/>
      <c r="V274" s="88"/>
      <c r="W274" s="88"/>
      <c r="X274" s="106"/>
      <c r="Y274" s="106"/>
      <c r="Z274" s="107"/>
      <c r="AA274" s="34" t="s">
        <v>194</v>
      </c>
      <c r="AB274" s="17">
        <f t="shared" si="29"/>
        <v>0</v>
      </c>
      <c r="AC274" s="29">
        <v>84</v>
      </c>
      <c r="AD274" s="2">
        <f t="shared" si="27"/>
        <v>7</v>
      </c>
      <c r="AE274" s="2">
        <f t="shared" si="28"/>
        <v>0</v>
      </c>
      <c r="AG274" s="35"/>
    </row>
    <row r="275" spans="1:33" x14ac:dyDescent="0.35">
      <c r="A275" s="159">
        <v>37</v>
      </c>
      <c r="B275" s="132" t="s">
        <v>192</v>
      </c>
      <c r="C275" s="207" t="s">
        <v>464</v>
      </c>
      <c r="D275" s="171">
        <v>8</v>
      </c>
      <c r="E275" s="290"/>
      <c r="F275" s="88"/>
      <c r="G275" s="88"/>
      <c r="H275" s="88"/>
      <c r="I275" s="88"/>
      <c r="J275" s="88"/>
      <c r="K275" s="88"/>
      <c r="L275" s="88"/>
      <c r="M275" s="88"/>
      <c r="N275" s="88"/>
      <c r="O275" s="106"/>
      <c r="P275" s="106"/>
      <c r="Q275" s="106"/>
      <c r="R275" s="88"/>
      <c r="S275" s="88"/>
      <c r="T275" s="88"/>
      <c r="U275" s="88"/>
      <c r="V275" s="88"/>
      <c r="W275" s="88"/>
      <c r="X275" s="106"/>
      <c r="Y275" s="106"/>
      <c r="Z275" s="107"/>
      <c r="AA275" s="34" t="s">
        <v>194</v>
      </c>
      <c r="AB275" s="17">
        <f t="shared" si="29"/>
        <v>0</v>
      </c>
      <c r="AC275" s="29">
        <v>84</v>
      </c>
      <c r="AD275" s="2">
        <f t="shared" si="27"/>
        <v>7</v>
      </c>
      <c r="AE275" s="2">
        <f t="shared" si="28"/>
        <v>0</v>
      </c>
      <c r="AG275" s="35"/>
    </row>
    <row r="276" spans="1:33" x14ac:dyDescent="0.35">
      <c r="A276" s="159">
        <v>37</v>
      </c>
      <c r="B276" s="132" t="s">
        <v>192</v>
      </c>
      <c r="C276" s="207" t="s">
        <v>196</v>
      </c>
      <c r="D276" s="171">
        <v>11</v>
      </c>
      <c r="E276" s="290"/>
      <c r="F276" s="88"/>
      <c r="G276" s="88"/>
      <c r="H276" s="88"/>
      <c r="I276" s="94"/>
      <c r="J276" s="88"/>
      <c r="K276" s="88"/>
      <c r="L276" s="88"/>
      <c r="M276" s="88"/>
      <c r="N276" s="88"/>
      <c r="O276" s="106"/>
      <c r="P276" s="106"/>
      <c r="Q276" s="106"/>
      <c r="R276" s="88"/>
      <c r="S276" s="88"/>
      <c r="T276" s="88"/>
      <c r="U276" s="88"/>
      <c r="V276" s="88"/>
      <c r="W276" s="88"/>
      <c r="X276" s="106"/>
      <c r="Y276" s="106"/>
      <c r="Z276" s="107"/>
      <c r="AA276" s="34" t="s">
        <v>194</v>
      </c>
      <c r="AB276" s="17">
        <f t="shared" si="29"/>
        <v>0</v>
      </c>
      <c r="AC276" s="29">
        <v>84</v>
      </c>
      <c r="AD276" s="2">
        <f t="shared" si="27"/>
        <v>7</v>
      </c>
      <c r="AE276" s="2">
        <f t="shared" si="28"/>
        <v>0</v>
      </c>
      <c r="AG276" s="35"/>
    </row>
    <row r="277" spans="1:33" x14ac:dyDescent="0.35">
      <c r="A277" s="159">
        <v>37</v>
      </c>
      <c r="B277" s="132" t="s">
        <v>192</v>
      </c>
      <c r="C277" s="207" t="s">
        <v>197</v>
      </c>
      <c r="D277" s="171">
        <v>11</v>
      </c>
      <c r="E277" s="290"/>
      <c r="F277" s="88"/>
      <c r="G277" s="88"/>
      <c r="H277" s="88"/>
      <c r="I277" s="88"/>
      <c r="J277" s="88"/>
      <c r="K277" s="88"/>
      <c r="L277" s="88"/>
      <c r="M277" s="88"/>
      <c r="N277" s="88"/>
      <c r="O277" s="106"/>
      <c r="P277" s="106"/>
      <c r="Q277" s="106"/>
      <c r="R277" s="88"/>
      <c r="S277" s="88"/>
      <c r="T277" s="88"/>
      <c r="U277" s="88"/>
      <c r="V277" s="88"/>
      <c r="W277" s="88"/>
      <c r="X277" s="106"/>
      <c r="Y277" s="106"/>
      <c r="Z277" s="107"/>
      <c r="AA277" s="34" t="s">
        <v>194</v>
      </c>
      <c r="AB277" s="17">
        <f t="shared" si="29"/>
        <v>0</v>
      </c>
      <c r="AC277" s="29">
        <v>84</v>
      </c>
      <c r="AD277" s="2">
        <f t="shared" si="27"/>
        <v>7</v>
      </c>
      <c r="AE277" s="2">
        <f t="shared" si="28"/>
        <v>0</v>
      </c>
      <c r="AG277" s="35"/>
    </row>
    <row r="278" spans="1:33" x14ac:dyDescent="0.35">
      <c r="A278" s="159">
        <v>37</v>
      </c>
      <c r="B278" s="132" t="s">
        <v>192</v>
      </c>
      <c r="C278" s="207" t="s">
        <v>337</v>
      </c>
      <c r="D278" s="171">
        <v>11</v>
      </c>
      <c r="E278" s="290"/>
      <c r="F278" s="28">
        <v>83</v>
      </c>
      <c r="G278" s="88"/>
      <c r="H278" s="88"/>
      <c r="I278" s="88"/>
      <c r="J278" s="88"/>
      <c r="K278" s="88"/>
      <c r="L278" s="88"/>
      <c r="M278" s="88"/>
      <c r="N278" s="88"/>
      <c r="O278" s="106"/>
      <c r="P278" s="106"/>
      <c r="Q278" s="266"/>
      <c r="R278" s="88"/>
      <c r="S278" s="88"/>
      <c r="T278" s="88"/>
      <c r="U278" s="88"/>
      <c r="V278" s="88"/>
      <c r="W278" s="88"/>
      <c r="X278" s="106"/>
      <c r="Y278" s="106"/>
      <c r="Z278" s="107"/>
      <c r="AA278" s="34" t="s">
        <v>194</v>
      </c>
      <c r="AB278" s="17">
        <f t="shared" si="29"/>
        <v>83</v>
      </c>
      <c r="AC278" s="29">
        <v>84</v>
      </c>
      <c r="AD278" s="2">
        <f t="shared" si="27"/>
        <v>7</v>
      </c>
      <c r="AE278" s="2">
        <f t="shared" si="28"/>
        <v>8</v>
      </c>
      <c r="AG278" s="35"/>
    </row>
    <row r="279" spans="1:33" x14ac:dyDescent="0.35">
      <c r="A279" s="159">
        <v>37</v>
      </c>
      <c r="B279" s="132" t="s">
        <v>192</v>
      </c>
      <c r="C279" s="207" t="s">
        <v>322</v>
      </c>
      <c r="D279" s="171">
        <v>11</v>
      </c>
      <c r="E279" s="290"/>
      <c r="F279" s="88"/>
      <c r="G279" s="88"/>
      <c r="H279" s="88"/>
      <c r="I279" s="88"/>
      <c r="J279" s="88"/>
      <c r="K279" s="88"/>
      <c r="L279" s="88"/>
      <c r="M279" s="88"/>
      <c r="N279" s="88"/>
      <c r="O279" s="106"/>
      <c r="P279" s="106"/>
      <c r="Q279" s="106"/>
      <c r="R279" s="88"/>
      <c r="S279" s="88"/>
      <c r="T279" s="88"/>
      <c r="U279" s="88"/>
      <c r="V279" s="88"/>
      <c r="W279" s="88"/>
      <c r="X279" s="106"/>
      <c r="Y279" s="106"/>
      <c r="Z279" s="107"/>
      <c r="AA279" s="34" t="s">
        <v>194</v>
      </c>
      <c r="AB279" s="17">
        <f t="shared" si="29"/>
        <v>0</v>
      </c>
      <c r="AC279" s="29">
        <v>84</v>
      </c>
      <c r="AD279" s="2">
        <f t="shared" si="27"/>
        <v>7</v>
      </c>
      <c r="AE279" s="2">
        <f t="shared" si="28"/>
        <v>0</v>
      </c>
      <c r="AG279" s="35"/>
    </row>
    <row r="280" spans="1:33" x14ac:dyDescent="0.35">
      <c r="A280" s="159">
        <v>37</v>
      </c>
      <c r="B280" s="132" t="s">
        <v>198</v>
      </c>
      <c r="C280" s="207" t="s">
        <v>323</v>
      </c>
      <c r="D280" s="171">
        <v>13</v>
      </c>
      <c r="E280" s="290"/>
      <c r="F280" s="88"/>
      <c r="G280" s="88"/>
      <c r="H280" s="88"/>
      <c r="I280" s="88"/>
      <c r="J280" s="88"/>
      <c r="K280" s="88"/>
      <c r="L280" s="88"/>
      <c r="M280" s="88"/>
      <c r="N280" s="88"/>
      <c r="O280" s="106"/>
      <c r="P280" s="106"/>
      <c r="Q280" s="106"/>
      <c r="R280" s="88"/>
      <c r="S280" s="88"/>
      <c r="T280" s="88"/>
      <c r="U280" s="88"/>
      <c r="V280" s="88"/>
      <c r="W280" s="88"/>
      <c r="X280" s="106"/>
      <c r="Y280" s="106"/>
      <c r="Z280" s="107"/>
      <c r="AA280" s="34" t="s">
        <v>194</v>
      </c>
      <c r="AB280" s="17">
        <f t="shared" si="29"/>
        <v>0</v>
      </c>
      <c r="AC280" s="29">
        <v>84</v>
      </c>
      <c r="AD280" s="2">
        <f t="shared" si="27"/>
        <v>7</v>
      </c>
      <c r="AE280" s="2">
        <f t="shared" si="28"/>
        <v>0</v>
      </c>
      <c r="AG280" s="35"/>
    </row>
    <row r="281" spans="1:33" x14ac:dyDescent="0.35">
      <c r="A281" s="159">
        <v>37</v>
      </c>
      <c r="B281" s="132" t="s">
        <v>198</v>
      </c>
      <c r="C281" s="207" t="s">
        <v>199</v>
      </c>
      <c r="D281" s="171">
        <v>13</v>
      </c>
      <c r="E281" s="290"/>
      <c r="F281" s="88"/>
      <c r="G281" s="88"/>
      <c r="H281" s="88"/>
      <c r="I281" s="88"/>
      <c r="J281" s="88"/>
      <c r="K281" s="88"/>
      <c r="L281" s="88"/>
      <c r="M281" s="88"/>
      <c r="N281" s="88"/>
      <c r="O281" s="106"/>
      <c r="P281" s="106"/>
      <c r="Q281" s="106"/>
      <c r="R281" s="88"/>
      <c r="S281" s="88"/>
      <c r="T281" s="88"/>
      <c r="U281" s="88"/>
      <c r="V281" s="88"/>
      <c r="W281" s="88"/>
      <c r="X281" s="106"/>
      <c r="Y281" s="106"/>
      <c r="Z281" s="107"/>
      <c r="AA281" s="34" t="s">
        <v>200</v>
      </c>
      <c r="AB281" s="17">
        <f t="shared" si="29"/>
        <v>0</v>
      </c>
      <c r="AC281" s="29">
        <v>84</v>
      </c>
      <c r="AD281" s="2">
        <f t="shared" si="27"/>
        <v>7</v>
      </c>
      <c r="AE281" s="2">
        <f t="shared" si="28"/>
        <v>0</v>
      </c>
      <c r="AG281" s="35"/>
    </row>
    <row r="282" spans="1:33" x14ac:dyDescent="0.35">
      <c r="A282" s="159">
        <v>37</v>
      </c>
      <c r="B282" s="132" t="s">
        <v>198</v>
      </c>
      <c r="C282" s="227" t="s">
        <v>344</v>
      </c>
      <c r="D282" s="173">
        <v>13</v>
      </c>
      <c r="E282" s="290"/>
      <c r="G282" s="88"/>
      <c r="H282" s="88"/>
      <c r="I282" s="88"/>
      <c r="J282" s="88"/>
      <c r="K282" s="88"/>
      <c r="L282" s="88"/>
      <c r="M282" s="88"/>
      <c r="N282" s="88"/>
      <c r="O282" s="106"/>
      <c r="P282" s="264"/>
      <c r="Q282" s="264"/>
      <c r="R282" s="88"/>
      <c r="S282" s="88"/>
      <c r="T282" s="88"/>
      <c r="U282" s="88"/>
      <c r="V282" s="91"/>
      <c r="W282" s="91"/>
      <c r="X282" s="108"/>
      <c r="Y282" s="108"/>
      <c r="Z282" s="109"/>
      <c r="AA282" s="34" t="s">
        <v>200</v>
      </c>
      <c r="AB282" s="17">
        <f t="shared" si="29"/>
        <v>0</v>
      </c>
      <c r="AC282" s="29">
        <v>84</v>
      </c>
      <c r="AD282" s="2">
        <f t="shared" si="27"/>
        <v>7</v>
      </c>
      <c r="AE282" s="2">
        <f t="shared" si="28"/>
        <v>0</v>
      </c>
      <c r="AG282" s="35"/>
    </row>
    <row r="283" spans="1:33" ht="15" thickBot="1" x14ac:dyDescent="0.4">
      <c r="A283" s="160">
        <v>37</v>
      </c>
      <c r="B283" s="156" t="s">
        <v>201</v>
      </c>
      <c r="C283" s="239" t="s">
        <v>202</v>
      </c>
      <c r="D283" s="183">
        <v>14</v>
      </c>
      <c r="E283" s="291"/>
      <c r="F283" s="91"/>
      <c r="G283" s="91"/>
      <c r="H283" s="91"/>
      <c r="I283" s="91"/>
      <c r="J283" s="91"/>
      <c r="K283" s="91"/>
      <c r="L283" s="91"/>
      <c r="M283" s="91"/>
      <c r="N283" s="91"/>
      <c r="O283" s="108"/>
      <c r="P283" s="108"/>
      <c r="Q283" s="108"/>
      <c r="R283" s="91"/>
      <c r="S283" s="91"/>
      <c r="T283" s="91"/>
      <c r="U283" s="91"/>
      <c r="V283" s="91"/>
      <c r="W283" s="91"/>
      <c r="X283" s="108"/>
      <c r="Y283" s="108"/>
      <c r="Z283" s="109"/>
      <c r="AA283" s="34" t="s">
        <v>200</v>
      </c>
      <c r="AB283" s="17">
        <f t="shared" si="29"/>
        <v>0</v>
      </c>
      <c r="AC283" s="29">
        <v>84</v>
      </c>
      <c r="AD283" s="2">
        <f t="shared" si="27"/>
        <v>7</v>
      </c>
      <c r="AE283" s="2">
        <f t="shared" si="28"/>
        <v>0</v>
      </c>
      <c r="AG283" s="35"/>
    </row>
    <row r="284" spans="1:33" x14ac:dyDescent="0.35">
      <c r="A284" s="157">
        <v>36</v>
      </c>
      <c r="B284" s="136" t="s">
        <v>477</v>
      </c>
      <c r="C284" s="228" t="s">
        <v>497</v>
      </c>
      <c r="D284" s="169">
        <v>11</v>
      </c>
      <c r="E284" s="287"/>
      <c r="F284" s="87"/>
      <c r="G284" s="87"/>
      <c r="H284" s="87"/>
      <c r="I284" s="87"/>
      <c r="J284" s="87"/>
      <c r="K284" s="87"/>
      <c r="L284" s="87"/>
      <c r="M284" s="87"/>
      <c r="N284" s="87"/>
      <c r="O284" s="102"/>
      <c r="P284" s="102"/>
      <c r="Q284" s="102"/>
      <c r="R284" s="87"/>
      <c r="S284" s="87"/>
      <c r="T284" s="87"/>
      <c r="U284" s="87"/>
      <c r="V284" s="87"/>
      <c r="W284" s="87"/>
      <c r="X284" s="102"/>
      <c r="Y284" s="102"/>
      <c r="Z284" s="103"/>
      <c r="AA284" s="34" t="s">
        <v>186</v>
      </c>
      <c r="AB284" s="17">
        <f t="shared" si="29"/>
        <v>0</v>
      </c>
      <c r="AC284" s="29">
        <v>60</v>
      </c>
      <c r="AD284" s="2">
        <f t="shared" si="27"/>
        <v>5</v>
      </c>
      <c r="AE284" s="2">
        <f t="shared" si="28"/>
        <v>0</v>
      </c>
      <c r="AG284" s="35"/>
    </row>
    <row r="285" spans="1:33" x14ac:dyDescent="0.35">
      <c r="A285" s="159">
        <v>36</v>
      </c>
      <c r="B285" s="135" t="s">
        <v>475</v>
      </c>
      <c r="C285" s="210" t="s">
        <v>188</v>
      </c>
      <c r="D285" s="175">
        <v>11</v>
      </c>
      <c r="E285" s="288"/>
      <c r="F285" s="88"/>
      <c r="G285" s="88"/>
      <c r="H285" s="88"/>
      <c r="I285" s="88"/>
      <c r="J285" s="88"/>
      <c r="K285" s="88"/>
      <c r="L285" s="88"/>
      <c r="M285" s="88"/>
      <c r="N285" s="88"/>
      <c r="O285" s="106"/>
      <c r="P285" s="106"/>
      <c r="Q285" s="106"/>
      <c r="R285" s="88"/>
      <c r="S285" s="88"/>
      <c r="T285" s="88"/>
      <c r="U285" s="88"/>
      <c r="V285" s="88"/>
      <c r="W285" s="88"/>
      <c r="X285" s="106"/>
      <c r="Y285" s="106"/>
      <c r="Z285" s="107"/>
      <c r="AA285" s="34" t="s">
        <v>186</v>
      </c>
      <c r="AB285" s="17">
        <f t="shared" si="29"/>
        <v>0</v>
      </c>
      <c r="AC285" s="29">
        <v>60</v>
      </c>
      <c r="AD285" s="2">
        <f t="shared" si="27"/>
        <v>5</v>
      </c>
      <c r="AE285" s="2">
        <f t="shared" si="28"/>
        <v>0</v>
      </c>
      <c r="AG285" s="35"/>
    </row>
    <row r="286" spans="1:33" x14ac:dyDescent="0.35">
      <c r="A286" s="159">
        <v>36</v>
      </c>
      <c r="B286" s="135" t="s">
        <v>478</v>
      </c>
      <c r="C286" s="210" t="s">
        <v>203</v>
      </c>
      <c r="D286" s="175">
        <v>11</v>
      </c>
      <c r="E286" s="288"/>
      <c r="F286" s="91"/>
      <c r="G286" s="88"/>
      <c r="H286" s="88"/>
      <c r="I286" s="88"/>
      <c r="J286" s="88"/>
      <c r="K286" s="88"/>
      <c r="L286" s="88"/>
      <c r="M286" s="88"/>
      <c r="N286" s="88"/>
      <c r="O286" s="106"/>
      <c r="P286" s="106"/>
      <c r="Q286" s="106"/>
      <c r="R286" s="88"/>
      <c r="S286" s="88"/>
      <c r="T286" s="88"/>
      <c r="U286" s="88"/>
      <c r="V286" s="88"/>
      <c r="W286" s="88"/>
      <c r="X286" s="106"/>
      <c r="Y286" s="106"/>
      <c r="Z286" s="107"/>
      <c r="AA286" s="34" t="s">
        <v>186</v>
      </c>
      <c r="AB286" s="17">
        <f t="shared" si="29"/>
        <v>0</v>
      </c>
      <c r="AC286" s="29">
        <v>60</v>
      </c>
      <c r="AD286" s="2">
        <f t="shared" si="27"/>
        <v>5</v>
      </c>
      <c r="AE286" s="2">
        <f t="shared" si="28"/>
        <v>0</v>
      </c>
      <c r="AG286" s="35"/>
    </row>
    <row r="287" spans="1:33" x14ac:dyDescent="0.35">
      <c r="A287" s="159">
        <v>36</v>
      </c>
      <c r="B287" s="135" t="s">
        <v>477</v>
      </c>
      <c r="C287" s="210" t="s">
        <v>347</v>
      </c>
      <c r="D287" s="179">
        <v>11</v>
      </c>
      <c r="E287" s="288"/>
      <c r="F287" s="91"/>
      <c r="G287" s="88"/>
      <c r="H287" s="88"/>
      <c r="I287" s="88"/>
      <c r="J287" s="88"/>
      <c r="K287" s="91"/>
      <c r="L287" s="88"/>
      <c r="M287" s="88"/>
      <c r="N287" s="91"/>
      <c r="O287" s="106"/>
      <c r="P287" s="106"/>
      <c r="Q287" s="108"/>
      <c r="R287" s="88"/>
      <c r="S287" s="88"/>
      <c r="T287" s="91"/>
      <c r="U287" s="88"/>
      <c r="V287" s="88"/>
      <c r="W287" s="91"/>
      <c r="X287" s="106"/>
      <c r="Y287" s="106"/>
      <c r="Z287" s="107"/>
      <c r="AA287" s="34" t="s">
        <v>186</v>
      </c>
      <c r="AB287" s="17">
        <f t="shared" si="29"/>
        <v>0</v>
      </c>
      <c r="AC287" s="29">
        <v>60</v>
      </c>
      <c r="AD287" s="2">
        <f t="shared" si="27"/>
        <v>5</v>
      </c>
      <c r="AE287" s="2">
        <f t="shared" si="28"/>
        <v>0</v>
      </c>
      <c r="AG287" s="35"/>
    </row>
    <row r="288" spans="1:33" x14ac:dyDescent="0.35">
      <c r="A288" s="159">
        <v>36</v>
      </c>
      <c r="B288" s="146" t="s">
        <v>476</v>
      </c>
      <c r="C288" s="210" t="s">
        <v>345</v>
      </c>
      <c r="D288" s="187">
        <v>11</v>
      </c>
      <c r="E288" s="288"/>
      <c r="F288" s="88"/>
      <c r="G288" s="88"/>
      <c r="H288" s="88"/>
      <c r="I288" s="88"/>
      <c r="J288" s="88"/>
      <c r="K288" s="88"/>
      <c r="L288" s="88"/>
      <c r="M288" s="88"/>
      <c r="N288" s="91"/>
      <c r="O288" s="106"/>
      <c r="P288" s="106"/>
      <c r="Q288" s="108"/>
      <c r="R288" s="88"/>
      <c r="S288" s="88"/>
      <c r="T288" s="88"/>
      <c r="U288" s="88"/>
      <c r="V288" s="88"/>
      <c r="W288" s="88"/>
      <c r="X288" s="106"/>
      <c r="Y288" s="106"/>
      <c r="Z288" s="107"/>
      <c r="AA288" s="34" t="s">
        <v>186</v>
      </c>
      <c r="AB288" s="17">
        <f t="shared" si="29"/>
        <v>0</v>
      </c>
      <c r="AC288" s="29">
        <v>60</v>
      </c>
      <c r="AD288" s="2">
        <f t="shared" si="27"/>
        <v>5</v>
      </c>
      <c r="AE288" s="2">
        <f t="shared" si="28"/>
        <v>0</v>
      </c>
      <c r="AG288" s="35"/>
    </row>
    <row r="289" spans="1:33" x14ac:dyDescent="0.35">
      <c r="A289" s="160">
        <v>36</v>
      </c>
      <c r="B289" s="139" t="s">
        <v>475</v>
      </c>
      <c r="C289" s="210" t="s">
        <v>346</v>
      </c>
      <c r="D289" s="179">
        <v>11</v>
      </c>
      <c r="E289" s="288"/>
      <c r="F289" s="88"/>
      <c r="G289" s="88"/>
      <c r="H289" s="88"/>
      <c r="I289" s="88"/>
      <c r="J289" s="88"/>
      <c r="K289" s="88"/>
      <c r="L289" s="88"/>
      <c r="M289" s="88"/>
      <c r="N289" s="91"/>
      <c r="O289" s="106"/>
      <c r="P289" s="106"/>
      <c r="Q289" s="108"/>
      <c r="R289" s="88"/>
      <c r="S289" s="88"/>
      <c r="T289" s="88"/>
      <c r="U289" s="88"/>
      <c r="V289" s="88"/>
      <c r="W289" s="88"/>
      <c r="X289" s="108"/>
      <c r="Y289" s="108"/>
      <c r="Z289" s="109"/>
      <c r="AA289" s="34" t="s">
        <v>186</v>
      </c>
      <c r="AB289" s="17">
        <f t="shared" si="29"/>
        <v>0</v>
      </c>
      <c r="AC289" s="29">
        <v>60</v>
      </c>
      <c r="AD289" s="2">
        <f t="shared" si="27"/>
        <v>5</v>
      </c>
      <c r="AE289" s="2">
        <f t="shared" si="28"/>
        <v>0</v>
      </c>
      <c r="AG289" s="35"/>
    </row>
    <row r="290" spans="1:33" x14ac:dyDescent="0.35">
      <c r="A290" s="160">
        <v>36</v>
      </c>
      <c r="B290" s="139" t="s">
        <v>471</v>
      </c>
      <c r="C290" s="224" t="s">
        <v>367</v>
      </c>
      <c r="D290" s="179">
        <v>11</v>
      </c>
      <c r="E290" s="288"/>
      <c r="F290" s="88"/>
      <c r="G290" s="91"/>
      <c r="H290" s="91"/>
      <c r="I290" s="88"/>
      <c r="J290" s="88"/>
      <c r="K290" s="88"/>
      <c r="L290" s="88"/>
      <c r="M290" s="88"/>
      <c r="N290" s="88"/>
      <c r="O290" s="106"/>
      <c r="P290" s="106"/>
      <c r="Q290" s="106"/>
      <c r="R290" s="88"/>
      <c r="S290" s="88"/>
      <c r="T290" s="88"/>
      <c r="U290" s="88"/>
      <c r="V290" s="88"/>
      <c r="W290" s="88"/>
      <c r="X290" s="108"/>
      <c r="Y290" s="108"/>
      <c r="Z290" s="109"/>
      <c r="AA290" s="34" t="s">
        <v>186</v>
      </c>
      <c r="AB290" s="17">
        <f t="shared" si="29"/>
        <v>0</v>
      </c>
      <c r="AC290" s="29">
        <v>60</v>
      </c>
      <c r="AD290" s="2">
        <f t="shared" si="27"/>
        <v>5</v>
      </c>
      <c r="AE290" s="2">
        <f t="shared" si="28"/>
        <v>0</v>
      </c>
      <c r="AG290" s="35"/>
    </row>
    <row r="291" spans="1:33" x14ac:dyDescent="0.35">
      <c r="A291" s="160">
        <v>36</v>
      </c>
      <c r="B291" s="139" t="s">
        <v>472</v>
      </c>
      <c r="C291" s="224" t="s">
        <v>366</v>
      </c>
      <c r="D291" s="179">
        <v>11</v>
      </c>
      <c r="E291" s="288"/>
      <c r="F291" s="88"/>
      <c r="G291" s="91"/>
      <c r="H291" s="91"/>
      <c r="I291" s="88"/>
      <c r="J291" s="88"/>
      <c r="K291" s="88"/>
      <c r="L291" s="88"/>
      <c r="M291" s="88"/>
      <c r="N291" s="88"/>
      <c r="O291" s="106"/>
      <c r="P291" s="106"/>
      <c r="Q291" s="106"/>
      <c r="R291" s="88"/>
      <c r="S291" s="88"/>
      <c r="T291" s="88"/>
      <c r="U291" s="88"/>
      <c r="V291" s="88"/>
      <c r="W291" s="88"/>
      <c r="X291" s="108"/>
      <c r="Y291" s="108"/>
      <c r="Z291" s="109"/>
      <c r="AA291" s="34" t="s">
        <v>186</v>
      </c>
      <c r="AB291" s="17">
        <f t="shared" si="29"/>
        <v>0</v>
      </c>
      <c r="AC291" s="29">
        <v>60</v>
      </c>
      <c r="AD291" s="2">
        <f t="shared" si="27"/>
        <v>5</v>
      </c>
      <c r="AE291" s="2">
        <f t="shared" si="28"/>
        <v>0</v>
      </c>
      <c r="AG291" s="35"/>
    </row>
    <row r="292" spans="1:33" x14ac:dyDescent="0.35">
      <c r="A292" s="160">
        <v>36</v>
      </c>
      <c r="B292" s="139" t="s">
        <v>473</v>
      </c>
      <c r="C292" s="224" t="s">
        <v>374</v>
      </c>
      <c r="D292" s="179">
        <v>11</v>
      </c>
      <c r="E292" s="288"/>
      <c r="F292" s="88"/>
      <c r="G292" s="91"/>
      <c r="H292" s="91"/>
      <c r="I292" s="88"/>
      <c r="J292" s="88"/>
      <c r="K292" s="88"/>
      <c r="L292" s="88"/>
      <c r="M292" s="88"/>
      <c r="N292" s="88"/>
      <c r="O292" s="106"/>
      <c r="P292" s="106"/>
      <c r="Q292" s="106"/>
      <c r="R292" s="88"/>
      <c r="S292" s="88"/>
      <c r="T292" s="88"/>
      <c r="U292" s="88"/>
      <c r="V292" s="88"/>
      <c r="W292" s="88"/>
      <c r="X292" s="108"/>
      <c r="Y292" s="108"/>
      <c r="Z292" s="109"/>
      <c r="AA292" s="34" t="s">
        <v>186</v>
      </c>
      <c r="AB292" s="17">
        <f t="shared" si="29"/>
        <v>0</v>
      </c>
      <c r="AC292" s="29">
        <v>60</v>
      </c>
      <c r="AD292" s="2">
        <f t="shared" si="27"/>
        <v>5</v>
      </c>
      <c r="AE292" s="2">
        <f t="shared" si="28"/>
        <v>0</v>
      </c>
      <c r="AG292" s="35"/>
    </row>
    <row r="293" spans="1:33" x14ac:dyDescent="0.35">
      <c r="A293" s="160">
        <v>36</v>
      </c>
      <c r="B293" s="139" t="s">
        <v>474</v>
      </c>
      <c r="C293" s="224" t="s">
        <v>368</v>
      </c>
      <c r="D293" s="179">
        <v>11</v>
      </c>
      <c r="E293" s="288"/>
      <c r="F293" s="88"/>
      <c r="G293" s="88"/>
      <c r="H293" s="88"/>
      <c r="I293" s="88"/>
      <c r="J293" s="88"/>
      <c r="K293" s="88"/>
      <c r="L293" s="88"/>
      <c r="M293" s="88"/>
      <c r="N293" s="88"/>
      <c r="O293" s="106"/>
      <c r="P293" s="106"/>
      <c r="Q293" s="106"/>
      <c r="R293" s="88"/>
      <c r="S293" s="88"/>
      <c r="T293" s="88"/>
      <c r="U293" s="88"/>
      <c r="V293" s="88"/>
      <c r="W293" s="88"/>
      <c r="X293" s="108"/>
      <c r="Y293" s="108"/>
      <c r="Z293" s="109"/>
      <c r="AA293" s="34" t="s">
        <v>186</v>
      </c>
      <c r="AB293" s="17">
        <f t="shared" si="29"/>
        <v>0</v>
      </c>
      <c r="AC293" s="29">
        <v>60</v>
      </c>
      <c r="AD293" s="2">
        <f t="shared" si="27"/>
        <v>5</v>
      </c>
      <c r="AE293" s="2">
        <f t="shared" si="28"/>
        <v>0</v>
      </c>
      <c r="AG293" s="35"/>
    </row>
    <row r="294" spans="1:33" x14ac:dyDescent="0.35">
      <c r="A294" s="160">
        <v>36</v>
      </c>
      <c r="B294" s="139" t="s">
        <v>498</v>
      </c>
      <c r="C294" s="224" t="s">
        <v>449</v>
      </c>
      <c r="D294" s="179">
        <v>11</v>
      </c>
      <c r="E294" s="288"/>
      <c r="F294" s="88"/>
      <c r="G294" s="88"/>
      <c r="H294" s="88"/>
      <c r="I294" s="88"/>
      <c r="J294" s="88"/>
      <c r="K294" s="88"/>
      <c r="L294" s="88"/>
      <c r="M294" s="88"/>
      <c r="N294" s="88"/>
      <c r="O294" s="106"/>
      <c r="P294" s="106"/>
      <c r="Q294" s="106"/>
      <c r="R294" s="88"/>
      <c r="S294" s="88"/>
      <c r="T294" s="88"/>
      <c r="U294" s="88"/>
      <c r="V294" s="88"/>
      <c r="W294" s="88"/>
      <c r="X294" s="108"/>
      <c r="Y294" s="108"/>
      <c r="Z294" s="109"/>
      <c r="AA294" s="34" t="s">
        <v>186</v>
      </c>
      <c r="AB294" s="17">
        <f t="shared" si="29"/>
        <v>0</v>
      </c>
      <c r="AC294" s="29">
        <v>60</v>
      </c>
      <c r="AD294" s="2">
        <f t="shared" si="27"/>
        <v>5</v>
      </c>
      <c r="AE294" s="2">
        <f>ROUND(IFERROR(AB294/D294,0),)</f>
        <v>0</v>
      </c>
      <c r="AG294" s="35"/>
    </row>
    <row r="295" spans="1:33" x14ac:dyDescent="0.35">
      <c r="A295" s="160">
        <v>36</v>
      </c>
      <c r="B295" s="139" t="s">
        <v>489</v>
      </c>
      <c r="C295" s="210" t="s">
        <v>279</v>
      </c>
      <c r="D295" s="179">
        <v>11</v>
      </c>
      <c r="E295" s="288"/>
      <c r="F295" s="88"/>
      <c r="G295" s="88"/>
      <c r="H295" s="88"/>
      <c r="I295" s="88"/>
      <c r="J295" s="88"/>
      <c r="K295" s="88"/>
      <c r="L295" s="88"/>
      <c r="M295" s="88"/>
      <c r="N295" s="88"/>
      <c r="O295" s="106"/>
      <c r="P295" s="106"/>
      <c r="Q295" s="106"/>
      <c r="R295" s="88"/>
      <c r="S295" s="88"/>
      <c r="T295" s="88"/>
      <c r="U295" s="88"/>
      <c r="V295" s="88"/>
      <c r="W295" s="88"/>
      <c r="X295" s="108"/>
      <c r="Y295" s="108"/>
      <c r="Z295" s="109"/>
      <c r="AA295" s="34" t="s">
        <v>186</v>
      </c>
      <c r="AB295" s="17">
        <f t="shared" si="29"/>
        <v>0</v>
      </c>
      <c r="AC295" s="29">
        <v>60</v>
      </c>
      <c r="AD295" s="2">
        <f t="shared" si="27"/>
        <v>5</v>
      </c>
      <c r="AE295" s="2">
        <f t="shared" si="28"/>
        <v>0</v>
      </c>
      <c r="AG295" s="35"/>
    </row>
    <row r="296" spans="1:33" x14ac:dyDescent="0.35">
      <c r="A296" s="159">
        <v>36</v>
      </c>
      <c r="B296" s="135" t="s">
        <v>487</v>
      </c>
      <c r="C296" s="210" t="s">
        <v>311</v>
      </c>
      <c r="D296" s="175">
        <v>11</v>
      </c>
      <c r="E296" s="288"/>
      <c r="F296" s="88"/>
      <c r="G296" s="88"/>
      <c r="H296" s="88"/>
      <c r="I296" s="88"/>
      <c r="J296" s="88"/>
      <c r="K296" s="88"/>
      <c r="L296" s="88"/>
      <c r="M296" s="88"/>
      <c r="N296" s="88"/>
      <c r="O296" s="106"/>
      <c r="P296" s="106"/>
      <c r="Q296" s="106"/>
      <c r="R296" s="88"/>
      <c r="S296" s="259"/>
      <c r="T296" s="88"/>
      <c r="U296" s="88"/>
      <c r="V296" s="259"/>
      <c r="W296" s="88"/>
      <c r="X296" s="106"/>
      <c r="Y296" s="106"/>
      <c r="Z296" s="107"/>
      <c r="AA296" s="34" t="s">
        <v>186</v>
      </c>
      <c r="AB296" s="17">
        <f t="shared" si="29"/>
        <v>0</v>
      </c>
      <c r="AC296" s="29">
        <v>60</v>
      </c>
      <c r="AD296" s="2">
        <f t="shared" si="27"/>
        <v>5</v>
      </c>
      <c r="AE296" s="2">
        <f t="shared" si="28"/>
        <v>0</v>
      </c>
      <c r="AG296" s="35"/>
    </row>
    <row r="297" spans="1:33" x14ac:dyDescent="0.35">
      <c r="A297" s="160">
        <v>36</v>
      </c>
      <c r="B297" s="139" t="s">
        <v>429</v>
      </c>
      <c r="C297" s="232" t="s">
        <v>404</v>
      </c>
      <c r="D297" s="175">
        <v>11</v>
      </c>
      <c r="E297" s="288"/>
      <c r="F297" s="88"/>
      <c r="G297" s="91">
        <v>21</v>
      </c>
      <c r="H297" s="88"/>
      <c r="I297" s="88"/>
      <c r="J297" s="88"/>
      <c r="K297" s="88"/>
      <c r="L297" s="88"/>
      <c r="M297" s="91"/>
      <c r="N297" s="88"/>
      <c r="O297" s="108"/>
      <c r="P297" s="108"/>
      <c r="Q297" s="106"/>
      <c r="R297" s="91">
        <v>82</v>
      </c>
      <c r="S297" s="91">
        <v>41</v>
      </c>
      <c r="T297" s="91"/>
      <c r="U297" s="91">
        <v>82</v>
      </c>
      <c r="V297" s="91"/>
      <c r="W297" s="91"/>
      <c r="X297" s="108"/>
      <c r="Y297" s="108"/>
      <c r="Z297" s="109"/>
      <c r="AA297" s="34" t="s">
        <v>350</v>
      </c>
      <c r="AB297" s="17">
        <f t="shared" si="29"/>
        <v>226</v>
      </c>
      <c r="AC297" s="29">
        <v>60</v>
      </c>
      <c r="AD297" s="2">
        <f t="shared" si="27"/>
        <v>5</v>
      </c>
      <c r="AE297" s="2">
        <f t="shared" si="28"/>
        <v>21</v>
      </c>
      <c r="AG297" s="35"/>
    </row>
    <row r="298" spans="1:33" x14ac:dyDescent="0.35">
      <c r="A298" s="160">
        <v>36</v>
      </c>
      <c r="B298" s="139" t="s">
        <v>430</v>
      </c>
      <c r="C298" s="232" t="s">
        <v>405</v>
      </c>
      <c r="D298" s="175">
        <v>11</v>
      </c>
      <c r="E298" s="288"/>
      <c r="F298" s="91"/>
      <c r="G298" s="88"/>
      <c r="H298" s="88"/>
      <c r="I298" s="88"/>
      <c r="J298" s="88"/>
      <c r="K298" s="88"/>
      <c r="L298" s="88"/>
      <c r="M298" s="88"/>
      <c r="N298" s="88"/>
      <c r="O298" s="106"/>
      <c r="P298" s="106"/>
      <c r="Q298" s="106"/>
      <c r="R298" s="88"/>
      <c r="S298" s="88"/>
      <c r="T298" s="88"/>
      <c r="U298" s="88"/>
      <c r="V298" s="88"/>
      <c r="W298" s="88"/>
      <c r="X298" s="108"/>
      <c r="Y298" s="108"/>
      <c r="Z298" s="109"/>
      <c r="AA298" s="34" t="s">
        <v>350</v>
      </c>
      <c r="AB298" s="17">
        <f t="shared" si="29"/>
        <v>0</v>
      </c>
      <c r="AC298" s="29">
        <v>60</v>
      </c>
      <c r="AD298" s="2">
        <f t="shared" si="27"/>
        <v>5</v>
      </c>
      <c r="AE298" s="2">
        <f t="shared" si="28"/>
        <v>0</v>
      </c>
      <c r="AG298" s="35"/>
    </row>
    <row r="299" spans="1:33" x14ac:dyDescent="0.35">
      <c r="A299" s="160">
        <v>36</v>
      </c>
      <c r="B299" s="139" t="s">
        <v>431</v>
      </c>
      <c r="C299" s="232" t="s">
        <v>406</v>
      </c>
      <c r="D299" s="175">
        <v>11</v>
      </c>
      <c r="E299" s="288"/>
      <c r="F299" s="88"/>
      <c r="G299" s="88"/>
      <c r="H299" s="88"/>
      <c r="I299" s="88"/>
      <c r="J299" s="88"/>
      <c r="K299" s="88"/>
      <c r="L299" s="88"/>
      <c r="M299" s="88"/>
      <c r="N299" s="88"/>
      <c r="O299" s="106"/>
      <c r="P299" s="106"/>
      <c r="Q299" s="106"/>
      <c r="R299" s="88"/>
      <c r="S299" s="88"/>
      <c r="T299" s="91"/>
      <c r="U299" s="91"/>
      <c r="V299" s="88"/>
      <c r="W299" s="91"/>
      <c r="X299" s="108"/>
      <c r="Y299" s="108"/>
      <c r="Z299" s="109"/>
      <c r="AA299" s="34" t="s">
        <v>350</v>
      </c>
      <c r="AB299" s="17">
        <f t="shared" si="29"/>
        <v>0</v>
      </c>
      <c r="AC299" s="29">
        <v>60</v>
      </c>
      <c r="AD299" s="2">
        <f t="shared" si="27"/>
        <v>5</v>
      </c>
      <c r="AE299" s="2">
        <f t="shared" si="28"/>
        <v>0</v>
      </c>
      <c r="AG299" s="35"/>
    </row>
    <row r="300" spans="1:33" x14ac:dyDescent="0.35">
      <c r="A300" s="160">
        <v>36</v>
      </c>
      <c r="B300" s="139" t="s">
        <v>432</v>
      </c>
      <c r="C300" s="232" t="s">
        <v>407</v>
      </c>
      <c r="D300" s="175">
        <v>11</v>
      </c>
      <c r="E300" s="288"/>
      <c r="F300" s="88">
        <v>82</v>
      </c>
      <c r="G300" s="91">
        <v>20</v>
      </c>
      <c r="H300" s="88"/>
      <c r="I300" s="88">
        <v>82</v>
      </c>
      <c r="J300" s="91">
        <v>41</v>
      </c>
      <c r="K300" s="88"/>
      <c r="L300" s="88">
        <v>82</v>
      </c>
      <c r="M300" s="91">
        <v>41</v>
      </c>
      <c r="N300" s="88"/>
      <c r="O300" s="106"/>
      <c r="P300" s="106"/>
      <c r="Q300" s="108"/>
      <c r="R300" s="91"/>
      <c r="S300" s="91"/>
      <c r="T300" s="88"/>
      <c r="U300" s="88"/>
      <c r="V300" s="91"/>
      <c r="W300" s="88"/>
      <c r="X300" s="108"/>
      <c r="Y300" s="108"/>
      <c r="Z300" s="109"/>
      <c r="AA300" s="34" t="s">
        <v>350</v>
      </c>
      <c r="AB300" s="17">
        <f t="shared" si="29"/>
        <v>348</v>
      </c>
      <c r="AC300" s="29">
        <v>60</v>
      </c>
      <c r="AD300" s="2">
        <f t="shared" si="27"/>
        <v>5</v>
      </c>
      <c r="AE300" s="2">
        <f t="shared" si="28"/>
        <v>32</v>
      </c>
      <c r="AG300" s="35"/>
    </row>
    <row r="301" spans="1:33" x14ac:dyDescent="0.35">
      <c r="A301" s="160">
        <v>36</v>
      </c>
      <c r="B301" s="139" t="s">
        <v>433</v>
      </c>
      <c r="C301" s="232" t="s">
        <v>414</v>
      </c>
      <c r="D301" s="175">
        <v>11</v>
      </c>
      <c r="E301" s="288"/>
      <c r="F301" s="88"/>
      <c r="G301" s="91"/>
      <c r="H301" s="88"/>
      <c r="I301" s="88"/>
      <c r="J301" s="91"/>
      <c r="K301" s="91"/>
      <c r="L301" s="88"/>
      <c r="M301" s="88"/>
      <c r="N301" s="88"/>
      <c r="O301" s="106"/>
      <c r="P301" s="106"/>
      <c r="Q301" s="108"/>
      <c r="R301" s="88"/>
      <c r="S301" s="88"/>
      <c r="T301" s="91"/>
      <c r="U301" s="88"/>
      <c r="V301" s="88"/>
      <c r="W301" s="91"/>
      <c r="X301" s="108"/>
      <c r="Y301" s="108"/>
      <c r="Z301" s="109"/>
      <c r="AA301" s="34" t="s">
        <v>350</v>
      </c>
      <c r="AB301" s="17">
        <f t="shared" si="29"/>
        <v>0</v>
      </c>
      <c r="AC301" s="29">
        <v>60</v>
      </c>
      <c r="AD301" s="2">
        <f t="shared" si="27"/>
        <v>5</v>
      </c>
      <c r="AE301" s="2">
        <f t="shared" si="28"/>
        <v>0</v>
      </c>
      <c r="AG301" s="35"/>
    </row>
    <row r="302" spans="1:33" x14ac:dyDescent="0.35">
      <c r="A302" s="160">
        <v>36</v>
      </c>
      <c r="B302" s="139" t="s">
        <v>434</v>
      </c>
      <c r="C302" s="232" t="s">
        <v>415</v>
      </c>
      <c r="D302" s="179">
        <v>11</v>
      </c>
      <c r="E302" s="288"/>
      <c r="F302" s="88"/>
      <c r="G302" s="91"/>
      <c r="H302" s="88"/>
      <c r="I302" s="88"/>
      <c r="J302" s="91"/>
      <c r="K302" s="91"/>
      <c r="L302" s="88"/>
      <c r="M302" s="88"/>
      <c r="N302" s="88"/>
      <c r="O302" s="106"/>
      <c r="P302" s="106"/>
      <c r="Q302" s="108"/>
      <c r="R302" s="88"/>
      <c r="S302" s="88"/>
      <c r="T302" s="91"/>
      <c r="U302" s="88"/>
      <c r="V302" s="88"/>
      <c r="W302" s="91"/>
      <c r="X302" s="108"/>
      <c r="Y302" s="108"/>
      <c r="Z302" s="109"/>
      <c r="AA302" s="34" t="s">
        <v>350</v>
      </c>
      <c r="AB302" s="17">
        <f t="shared" si="29"/>
        <v>0</v>
      </c>
      <c r="AC302" s="29">
        <v>60</v>
      </c>
      <c r="AD302" s="2">
        <f t="shared" si="27"/>
        <v>5</v>
      </c>
      <c r="AE302" s="2">
        <f t="shared" si="28"/>
        <v>0</v>
      </c>
      <c r="AG302" s="35"/>
    </row>
    <row r="303" spans="1:33" x14ac:dyDescent="0.35">
      <c r="A303" s="160">
        <v>36</v>
      </c>
      <c r="B303" s="139" t="s">
        <v>435</v>
      </c>
      <c r="C303" s="232" t="s">
        <v>416</v>
      </c>
      <c r="D303" s="179">
        <v>11</v>
      </c>
      <c r="E303" s="288"/>
      <c r="F303" s="91"/>
      <c r="G303" s="91"/>
      <c r="H303" s="88"/>
      <c r="I303" s="88"/>
      <c r="J303" s="91"/>
      <c r="K303" s="91"/>
      <c r="L303" s="88"/>
      <c r="M303" s="88"/>
      <c r="N303" s="88"/>
      <c r="O303" s="106"/>
      <c r="P303" s="106"/>
      <c r="Q303" s="108"/>
      <c r="R303" s="88"/>
      <c r="S303" s="88"/>
      <c r="T303" s="91"/>
      <c r="U303" s="88"/>
      <c r="V303" s="88"/>
      <c r="W303" s="91"/>
      <c r="X303" s="108"/>
      <c r="Y303" s="108"/>
      <c r="Z303" s="109"/>
      <c r="AA303" s="34" t="s">
        <v>350</v>
      </c>
      <c r="AB303" s="17">
        <f t="shared" si="29"/>
        <v>0</v>
      </c>
      <c r="AC303" s="29">
        <v>60</v>
      </c>
      <c r="AD303" s="2">
        <f t="shared" si="27"/>
        <v>5</v>
      </c>
      <c r="AE303" s="2">
        <f t="shared" si="28"/>
        <v>0</v>
      </c>
      <c r="AG303" s="35"/>
    </row>
    <row r="304" spans="1:33" x14ac:dyDescent="0.35">
      <c r="A304" s="160">
        <v>36</v>
      </c>
      <c r="B304" s="139" t="s">
        <v>436</v>
      </c>
      <c r="C304" s="232" t="s">
        <v>417</v>
      </c>
      <c r="D304" s="179">
        <v>11</v>
      </c>
      <c r="E304" s="288"/>
      <c r="F304" s="88"/>
      <c r="G304" s="91"/>
      <c r="H304" s="88"/>
      <c r="I304" s="88"/>
      <c r="J304" s="91"/>
      <c r="K304" s="91"/>
      <c r="L304" s="88"/>
      <c r="M304" s="88"/>
      <c r="N304" s="88"/>
      <c r="O304" s="106"/>
      <c r="P304" s="106"/>
      <c r="Q304" s="108"/>
      <c r="R304" s="88"/>
      <c r="S304" s="88"/>
      <c r="T304" s="91"/>
      <c r="U304" s="88"/>
      <c r="V304" s="88"/>
      <c r="W304" s="91"/>
      <c r="X304" s="108"/>
      <c r="Y304" s="108"/>
      <c r="Z304" s="109"/>
      <c r="AA304" s="34" t="s">
        <v>350</v>
      </c>
      <c r="AB304" s="17">
        <f t="shared" si="29"/>
        <v>0</v>
      </c>
      <c r="AC304" s="29">
        <v>60</v>
      </c>
      <c r="AD304" s="2">
        <f t="shared" si="27"/>
        <v>5</v>
      </c>
      <c r="AE304" s="2">
        <f t="shared" si="28"/>
        <v>0</v>
      </c>
      <c r="AG304" s="35"/>
    </row>
    <row r="305" spans="1:33" x14ac:dyDescent="0.35">
      <c r="A305" s="160">
        <v>36</v>
      </c>
      <c r="B305" s="139" t="s">
        <v>437</v>
      </c>
      <c r="C305" s="232" t="s">
        <v>408</v>
      </c>
      <c r="D305" s="179">
        <v>11</v>
      </c>
      <c r="E305" s="288"/>
      <c r="F305" s="91"/>
      <c r="G305" s="91"/>
      <c r="H305" s="88"/>
      <c r="I305" s="88"/>
      <c r="J305" s="91"/>
      <c r="K305" s="91"/>
      <c r="L305" s="88"/>
      <c r="M305" s="88"/>
      <c r="N305" s="88"/>
      <c r="O305" s="106"/>
      <c r="P305" s="106"/>
      <c r="Q305" s="108"/>
      <c r="R305" s="88"/>
      <c r="S305" s="88"/>
      <c r="T305" s="91"/>
      <c r="U305" s="88"/>
      <c r="V305" s="88"/>
      <c r="W305" s="91"/>
      <c r="X305" s="108"/>
      <c r="Y305" s="108"/>
      <c r="Z305" s="109"/>
      <c r="AA305" s="34" t="s">
        <v>350</v>
      </c>
      <c r="AB305" s="17">
        <f t="shared" si="29"/>
        <v>0</v>
      </c>
      <c r="AC305" s="29">
        <v>60</v>
      </c>
      <c r="AD305" s="2">
        <f t="shared" si="27"/>
        <v>5</v>
      </c>
      <c r="AE305" s="2">
        <f t="shared" si="28"/>
        <v>0</v>
      </c>
      <c r="AG305" s="35"/>
    </row>
    <row r="306" spans="1:33" x14ac:dyDescent="0.35">
      <c r="A306" s="160">
        <v>36</v>
      </c>
      <c r="B306" s="139" t="s">
        <v>438</v>
      </c>
      <c r="C306" s="232" t="s">
        <v>409</v>
      </c>
      <c r="D306" s="179">
        <v>11</v>
      </c>
      <c r="E306" s="288"/>
      <c r="F306" s="91"/>
      <c r="G306" s="91"/>
      <c r="H306" s="88"/>
      <c r="I306" s="88"/>
      <c r="J306" s="91"/>
      <c r="K306" s="91"/>
      <c r="L306" s="88"/>
      <c r="M306" s="88"/>
      <c r="N306" s="88"/>
      <c r="O306" s="106"/>
      <c r="P306" s="106"/>
      <c r="Q306" s="108"/>
      <c r="R306" s="88"/>
      <c r="S306" s="88"/>
      <c r="T306" s="91"/>
      <c r="U306" s="88"/>
      <c r="V306" s="88"/>
      <c r="W306" s="91"/>
      <c r="X306" s="108"/>
      <c r="Y306" s="108"/>
      <c r="Z306" s="109"/>
      <c r="AA306" s="34" t="s">
        <v>350</v>
      </c>
      <c r="AB306" s="17">
        <f t="shared" si="29"/>
        <v>0</v>
      </c>
      <c r="AC306" s="29">
        <v>60</v>
      </c>
      <c r="AD306" s="2">
        <f t="shared" si="27"/>
        <v>5</v>
      </c>
      <c r="AE306" s="2">
        <f t="shared" si="28"/>
        <v>0</v>
      </c>
      <c r="AG306" s="35"/>
    </row>
    <row r="307" spans="1:33" x14ac:dyDescent="0.35">
      <c r="A307" s="160">
        <v>36</v>
      </c>
      <c r="B307" s="139" t="s">
        <v>439</v>
      </c>
      <c r="C307" s="232" t="s">
        <v>410</v>
      </c>
      <c r="D307" s="179">
        <v>11</v>
      </c>
      <c r="E307" s="288"/>
      <c r="F307" s="91"/>
      <c r="G307" s="91"/>
      <c r="H307" s="88"/>
      <c r="I307" s="88"/>
      <c r="J307" s="91"/>
      <c r="K307" s="91"/>
      <c r="L307" s="88"/>
      <c r="M307" s="88"/>
      <c r="N307" s="88"/>
      <c r="O307" s="106"/>
      <c r="P307" s="106"/>
      <c r="Q307" s="108"/>
      <c r="R307" s="88"/>
      <c r="S307" s="88"/>
      <c r="T307" s="91"/>
      <c r="U307" s="88"/>
      <c r="V307" s="88"/>
      <c r="W307" s="91"/>
      <c r="X307" s="108"/>
      <c r="Y307" s="108"/>
      <c r="Z307" s="109"/>
      <c r="AA307" s="34" t="s">
        <v>350</v>
      </c>
      <c r="AB307" s="17">
        <f t="shared" si="29"/>
        <v>0</v>
      </c>
      <c r="AC307" s="29">
        <v>60</v>
      </c>
      <c r="AD307" s="2">
        <f t="shared" si="27"/>
        <v>5</v>
      </c>
      <c r="AE307" s="2">
        <f t="shared" si="28"/>
        <v>0</v>
      </c>
      <c r="AG307" s="35"/>
    </row>
    <row r="308" spans="1:33" x14ac:dyDescent="0.35">
      <c r="A308" s="160">
        <v>36</v>
      </c>
      <c r="B308" s="139" t="s">
        <v>440</v>
      </c>
      <c r="C308" s="232" t="s">
        <v>411</v>
      </c>
      <c r="D308" s="179">
        <v>11</v>
      </c>
      <c r="E308" s="288"/>
      <c r="F308" s="91"/>
      <c r="G308" s="91"/>
      <c r="H308" s="88"/>
      <c r="I308" s="88"/>
      <c r="J308" s="91"/>
      <c r="K308" s="91"/>
      <c r="L308" s="88"/>
      <c r="M308" s="88"/>
      <c r="N308" s="88"/>
      <c r="O308" s="106"/>
      <c r="P308" s="106"/>
      <c r="Q308" s="108"/>
      <c r="R308" s="88"/>
      <c r="S308" s="88"/>
      <c r="T308" s="91"/>
      <c r="U308" s="88"/>
      <c r="V308" s="88"/>
      <c r="W308" s="91"/>
      <c r="X308" s="108"/>
      <c r="Y308" s="108"/>
      <c r="Z308" s="109"/>
      <c r="AA308" s="34" t="s">
        <v>350</v>
      </c>
      <c r="AB308" s="17">
        <f t="shared" si="29"/>
        <v>0</v>
      </c>
      <c r="AC308" s="29">
        <v>60</v>
      </c>
      <c r="AD308" s="2">
        <f t="shared" si="27"/>
        <v>5</v>
      </c>
      <c r="AE308" s="2">
        <f t="shared" si="28"/>
        <v>0</v>
      </c>
      <c r="AG308" s="35"/>
    </row>
    <row r="309" spans="1:33" x14ac:dyDescent="0.35">
      <c r="A309" s="160">
        <v>36</v>
      </c>
      <c r="B309" s="139" t="s">
        <v>441</v>
      </c>
      <c r="C309" s="232" t="s">
        <v>412</v>
      </c>
      <c r="D309" s="179">
        <v>11</v>
      </c>
      <c r="E309" s="288"/>
      <c r="F309" s="88"/>
      <c r="G309" s="88"/>
      <c r="H309" s="88">
        <v>17</v>
      </c>
      <c r="I309" s="88"/>
      <c r="J309" s="88"/>
      <c r="K309" s="91"/>
      <c r="L309" s="88"/>
      <c r="M309" s="88"/>
      <c r="N309" s="88"/>
      <c r="O309" s="106"/>
      <c r="P309" s="106"/>
      <c r="Q309" s="108"/>
      <c r="R309" s="91"/>
      <c r="S309" s="91"/>
      <c r="T309" s="91"/>
      <c r="U309" s="88"/>
      <c r="V309" s="88"/>
      <c r="W309" s="88"/>
      <c r="X309" s="108"/>
      <c r="Y309" s="108"/>
      <c r="Z309" s="109"/>
      <c r="AA309" s="34" t="s">
        <v>350</v>
      </c>
      <c r="AB309" s="17">
        <f t="shared" si="29"/>
        <v>17</v>
      </c>
      <c r="AC309" s="29">
        <v>60</v>
      </c>
      <c r="AD309" s="2">
        <f t="shared" si="27"/>
        <v>5</v>
      </c>
      <c r="AE309" s="2">
        <f t="shared" si="28"/>
        <v>2</v>
      </c>
      <c r="AG309" s="35"/>
    </row>
    <row r="310" spans="1:33" ht="15" thickBot="1" x14ac:dyDescent="0.4">
      <c r="A310" s="162">
        <v>36</v>
      </c>
      <c r="B310" s="137" t="s">
        <v>442</v>
      </c>
      <c r="C310" s="232" t="s">
        <v>413</v>
      </c>
      <c r="D310" s="179">
        <v>11</v>
      </c>
      <c r="E310" s="289"/>
      <c r="F310" s="88"/>
      <c r="G310" s="88">
        <v>41</v>
      </c>
      <c r="H310" s="88">
        <f>82-17</f>
        <v>65</v>
      </c>
      <c r="I310" s="88"/>
      <c r="J310" s="88">
        <v>41</v>
      </c>
      <c r="K310" s="88">
        <v>82</v>
      </c>
      <c r="L310" s="88"/>
      <c r="M310" s="88">
        <v>41</v>
      </c>
      <c r="N310" s="88">
        <v>82</v>
      </c>
      <c r="O310" s="106"/>
      <c r="P310" s="106"/>
      <c r="Q310" s="108"/>
      <c r="R310" s="88"/>
      <c r="S310" s="88">
        <v>41</v>
      </c>
      <c r="T310" s="88">
        <v>82</v>
      </c>
      <c r="U310" s="91"/>
      <c r="V310" s="91"/>
      <c r="W310" s="91">
        <v>82</v>
      </c>
      <c r="X310" s="108"/>
      <c r="Y310" s="108"/>
      <c r="Z310" s="109"/>
      <c r="AA310" s="34" t="s">
        <v>350</v>
      </c>
      <c r="AB310" s="17">
        <f t="shared" si="29"/>
        <v>557</v>
      </c>
      <c r="AC310" s="29">
        <v>60</v>
      </c>
      <c r="AD310" s="2">
        <f t="shared" si="27"/>
        <v>5</v>
      </c>
      <c r="AE310" s="2">
        <f t="shared" si="28"/>
        <v>51</v>
      </c>
      <c r="AG310" s="35"/>
    </row>
    <row r="311" spans="1:33" x14ac:dyDescent="0.35">
      <c r="A311" s="157">
        <v>38</v>
      </c>
      <c r="B311" s="136" t="s">
        <v>56</v>
      </c>
      <c r="C311" s="228" t="s">
        <v>57</v>
      </c>
      <c r="D311" s="172">
        <v>18</v>
      </c>
      <c r="E311" s="287"/>
      <c r="F311" s="87"/>
      <c r="G311" s="87"/>
      <c r="H311" s="87"/>
      <c r="I311" s="87"/>
      <c r="J311" s="87"/>
      <c r="K311" s="87"/>
      <c r="L311" s="87"/>
      <c r="M311" s="87"/>
      <c r="N311" s="87"/>
      <c r="O311" s="102"/>
      <c r="P311" s="102"/>
      <c r="Q311" s="102"/>
      <c r="R311" s="87"/>
      <c r="S311" s="87"/>
      <c r="T311" s="87"/>
      <c r="U311" s="87"/>
      <c r="V311" s="87"/>
      <c r="W311" s="87"/>
      <c r="X311" s="102"/>
      <c r="Y311" s="102"/>
      <c r="Z311" s="103"/>
      <c r="AA311" s="37" t="s">
        <v>56</v>
      </c>
      <c r="AB311" s="17">
        <f t="shared" si="29"/>
        <v>0</v>
      </c>
      <c r="AC311" s="29">
        <v>60</v>
      </c>
      <c r="AD311" s="2">
        <f t="shared" si="27"/>
        <v>5</v>
      </c>
      <c r="AE311" s="2">
        <f t="shared" si="28"/>
        <v>0</v>
      </c>
      <c r="AG311" s="35"/>
    </row>
    <row r="312" spans="1:33" x14ac:dyDescent="0.35">
      <c r="A312" s="159">
        <v>38</v>
      </c>
      <c r="B312" s="135" t="s">
        <v>56</v>
      </c>
      <c r="C312" s="210" t="s">
        <v>58</v>
      </c>
      <c r="D312" s="175">
        <v>18</v>
      </c>
      <c r="E312" s="290"/>
      <c r="F312" s="88"/>
      <c r="G312" s="88"/>
      <c r="H312" s="88"/>
      <c r="I312" s="88"/>
      <c r="J312" s="88"/>
      <c r="K312" s="88"/>
      <c r="L312" s="88"/>
      <c r="M312" s="88"/>
      <c r="N312" s="88"/>
      <c r="O312" s="106"/>
      <c r="P312" s="106"/>
      <c r="Q312" s="106"/>
      <c r="R312" s="94"/>
      <c r="S312" s="88"/>
      <c r="T312" s="88"/>
      <c r="U312" s="94"/>
      <c r="V312" s="88"/>
      <c r="W312" s="88"/>
      <c r="X312" s="106"/>
      <c r="Y312" s="106"/>
      <c r="Z312" s="107"/>
      <c r="AA312" s="37" t="s">
        <v>56</v>
      </c>
      <c r="AB312" s="17">
        <f t="shared" si="29"/>
        <v>0</v>
      </c>
      <c r="AC312" s="29">
        <v>60</v>
      </c>
      <c r="AD312" s="2">
        <f t="shared" si="27"/>
        <v>5</v>
      </c>
      <c r="AE312" s="2">
        <f t="shared" si="28"/>
        <v>0</v>
      </c>
      <c r="AG312" s="35"/>
    </row>
    <row r="313" spans="1:33" x14ac:dyDescent="0.35">
      <c r="A313" s="159">
        <v>38</v>
      </c>
      <c r="B313" s="135" t="s">
        <v>299</v>
      </c>
      <c r="C313" s="210" t="s">
        <v>334</v>
      </c>
      <c r="D313" s="175">
        <v>16</v>
      </c>
      <c r="E313" s="290"/>
      <c r="F313" s="88"/>
      <c r="G313" s="88"/>
      <c r="H313" s="88"/>
      <c r="I313" s="88"/>
      <c r="J313" s="88"/>
      <c r="K313" s="88"/>
      <c r="L313" s="88"/>
      <c r="M313" s="88"/>
      <c r="N313" s="88"/>
      <c r="O313" s="106"/>
      <c r="P313" s="106"/>
      <c r="Q313" s="106"/>
      <c r="R313" s="94"/>
      <c r="S313" s="88"/>
      <c r="T313" s="88"/>
      <c r="U313" s="94"/>
      <c r="V313" s="88"/>
      <c r="W313" s="88"/>
      <c r="X313" s="106"/>
      <c r="Y313" s="106"/>
      <c r="Z313" s="107"/>
      <c r="AA313" s="37" t="s">
        <v>56</v>
      </c>
      <c r="AB313" s="17">
        <f t="shared" si="29"/>
        <v>0</v>
      </c>
      <c r="AC313" s="29">
        <v>60</v>
      </c>
      <c r="AD313" s="2">
        <f t="shared" si="27"/>
        <v>5</v>
      </c>
      <c r="AE313" s="2">
        <f t="shared" si="28"/>
        <v>0</v>
      </c>
      <c r="AG313" s="35"/>
    </row>
    <row r="314" spans="1:33" x14ac:dyDescent="0.35">
      <c r="A314" s="159">
        <v>38</v>
      </c>
      <c r="B314" s="135" t="s">
        <v>59</v>
      </c>
      <c r="C314" s="210" t="s">
        <v>60</v>
      </c>
      <c r="D314" s="175">
        <v>14</v>
      </c>
      <c r="E314" s="290"/>
      <c r="F314" s="88"/>
      <c r="G314" s="88"/>
      <c r="H314" s="88"/>
      <c r="I314" s="88"/>
      <c r="J314" s="88"/>
      <c r="K314" s="88"/>
      <c r="L314" s="88"/>
      <c r="M314" s="88"/>
      <c r="N314" s="88"/>
      <c r="O314" s="106"/>
      <c r="P314" s="106"/>
      <c r="Q314" s="106"/>
      <c r="R314" s="88"/>
      <c r="S314" s="88"/>
      <c r="T314" s="88"/>
      <c r="U314" s="88"/>
      <c r="V314" s="88"/>
      <c r="W314" s="88"/>
      <c r="X314" s="106"/>
      <c r="Y314" s="106"/>
      <c r="Z314" s="107"/>
      <c r="AA314" s="37" t="s">
        <v>61</v>
      </c>
      <c r="AB314" s="17">
        <f t="shared" si="29"/>
        <v>0</v>
      </c>
      <c r="AC314" s="29">
        <v>84</v>
      </c>
      <c r="AD314" s="2">
        <f t="shared" si="27"/>
        <v>7</v>
      </c>
      <c r="AE314" s="2">
        <f t="shared" si="28"/>
        <v>0</v>
      </c>
      <c r="AG314" s="35"/>
    </row>
    <row r="315" spans="1:33" x14ac:dyDescent="0.35">
      <c r="A315" s="159">
        <v>38</v>
      </c>
      <c r="B315" s="135" t="s">
        <v>59</v>
      </c>
      <c r="C315" s="210" t="s">
        <v>62</v>
      </c>
      <c r="D315" s="175">
        <v>14</v>
      </c>
      <c r="E315" s="290"/>
      <c r="F315" s="88"/>
      <c r="G315" s="88"/>
      <c r="H315" s="88"/>
      <c r="I315" s="88"/>
      <c r="J315" s="88"/>
      <c r="K315" s="88"/>
      <c r="L315" s="88"/>
      <c r="M315" s="88"/>
      <c r="N315" s="88"/>
      <c r="O315" s="106"/>
      <c r="P315" s="106"/>
      <c r="Q315" s="106"/>
      <c r="R315" s="88"/>
      <c r="S315" s="88"/>
      <c r="T315" s="88"/>
      <c r="U315" s="88"/>
      <c r="V315" s="88"/>
      <c r="W315" s="88"/>
      <c r="X315" s="106"/>
      <c r="Y315" s="106"/>
      <c r="Z315" s="107"/>
      <c r="AA315" s="37" t="s">
        <v>61</v>
      </c>
      <c r="AB315" s="17">
        <f t="shared" si="29"/>
        <v>0</v>
      </c>
      <c r="AC315" s="29">
        <v>84</v>
      </c>
      <c r="AD315" s="2">
        <f t="shared" si="27"/>
        <v>7</v>
      </c>
      <c r="AE315" s="2">
        <f t="shared" si="28"/>
        <v>0</v>
      </c>
      <c r="AG315" s="35"/>
    </row>
    <row r="316" spans="1:33" x14ac:dyDescent="0.35">
      <c r="A316" s="159">
        <v>38</v>
      </c>
      <c r="B316" s="135" t="s">
        <v>63</v>
      </c>
      <c r="C316" s="210" t="s">
        <v>64</v>
      </c>
      <c r="D316" s="175">
        <v>15</v>
      </c>
      <c r="E316" s="290"/>
      <c r="F316" s="88"/>
      <c r="G316" s="88"/>
      <c r="H316" s="88"/>
      <c r="I316" s="88"/>
      <c r="J316" s="88"/>
      <c r="K316" s="88"/>
      <c r="L316" s="88"/>
      <c r="M316" s="88"/>
      <c r="N316" s="88"/>
      <c r="O316" s="106"/>
      <c r="P316" s="106"/>
      <c r="Q316" s="106"/>
      <c r="R316" s="88"/>
      <c r="S316" s="88"/>
      <c r="T316" s="88"/>
      <c r="U316" s="88"/>
      <c r="V316" s="88"/>
      <c r="W316" s="88"/>
      <c r="X316" s="106"/>
      <c r="Y316" s="106"/>
      <c r="Z316" s="107"/>
      <c r="AA316" s="37" t="s">
        <v>65</v>
      </c>
      <c r="AB316" s="17">
        <f t="shared" si="29"/>
        <v>0</v>
      </c>
      <c r="AC316" s="29">
        <v>84</v>
      </c>
      <c r="AD316" s="2">
        <f t="shared" si="27"/>
        <v>7</v>
      </c>
      <c r="AE316" s="2">
        <f t="shared" si="28"/>
        <v>0</v>
      </c>
      <c r="AG316" s="35"/>
    </row>
    <row r="317" spans="1:33" ht="15" thickBot="1" x14ac:dyDescent="0.4">
      <c r="A317" s="162">
        <v>38</v>
      </c>
      <c r="B317" s="137" t="s">
        <v>66</v>
      </c>
      <c r="C317" s="229" t="s">
        <v>67</v>
      </c>
      <c r="D317" s="176">
        <v>11</v>
      </c>
      <c r="E317" s="291"/>
      <c r="F317" s="92"/>
      <c r="G317" s="92"/>
      <c r="H317" s="92"/>
      <c r="I317" s="92"/>
      <c r="J317" s="92"/>
      <c r="K317" s="92"/>
      <c r="L317" s="92"/>
      <c r="M317" s="92"/>
      <c r="N317" s="92"/>
      <c r="O317" s="112"/>
      <c r="P317" s="112"/>
      <c r="Q317" s="112"/>
      <c r="R317" s="92"/>
      <c r="S317" s="92"/>
      <c r="T317" s="92"/>
      <c r="U317" s="92"/>
      <c r="V317" s="92"/>
      <c r="W317" s="92"/>
      <c r="X317" s="112"/>
      <c r="Y317" s="112"/>
      <c r="Z317" s="113"/>
      <c r="AA317" s="37" t="s">
        <v>68</v>
      </c>
      <c r="AB317" s="17">
        <f t="shared" si="29"/>
        <v>0</v>
      </c>
      <c r="AC317" s="29">
        <v>84</v>
      </c>
      <c r="AD317" s="2">
        <f t="shared" si="27"/>
        <v>7</v>
      </c>
      <c r="AE317" s="2">
        <f t="shared" si="28"/>
        <v>0</v>
      </c>
      <c r="AG317" s="35"/>
    </row>
    <row r="318" spans="1:33" x14ac:dyDescent="0.35">
      <c r="A318" s="157" t="s">
        <v>204</v>
      </c>
      <c r="B318" s="136" t="s">
        <v>510</v>
      </c>
      <c r="C318" s="228" t="s">
        <v>33</v>
      </c>
      <c r="D318" s="169">
        <v>13</v>
      </c>
      <c r="E318" s="292"/>
      <c r="F318" s="87"/>
      <c r="G318" s="87"/>
      <c r="H318" s="87"/>
      <c r="I318" s="87"/>
      <c r="J318" s="87"/>
      <c r="K318" s="87"/>
      <c r="L318" s="87"/>
      <c r="M318" s="87"/>
      <c r="N318" s="87"/>
      <c r="O318" s="102"/>
      <c r="P318" s="102"/>
      <c r="Q318" s="102"/>
      <c r="R318" s="87"/>
      <c r="S318" s="87"/>
      <c r="T318" s="87"/>
      <c r="U318" s="87"/>
      <c r="V318" s="87"/>
      <c r="W318" s="87"/>
      <c r="X318" s="102"/>
      <c r="Y318" s="102"/>
      <c r="Z318" s="103"/>
      <c r="AA318" s="34" t="s">
        <v>32</v>
      </c>
      <c r="AB318" s="17">
        <f t="shared" si="29"/>
        <v>0</v>
      </c>
      <c r="AC318" s="29">
        <v>60</v>
      </c>
      <c r="AD318" s="2">
        <f t="shared" si="27"/>
        <v>5</v>
      </c>
      <c r="AE318" s="2">
        <f t="shared" si="28"/>
        <v>0</v>
      </c>
      <c r="AG318" s="35"/>
    </row>
    <row r="319" spans="1:33" x14ac:dyDescent="0.35">
      <c r="A319" s="159" t="s">
        <v>204</v>
      </c>
      <c r="B319" s="135" t="s">
        <v>159</v>
      </c>
      <c r="C319" s="210" t="s">
        <v>109</v>
      </c>
      <c r="D319" s="175">
        <v>15</v>
      </c>
      <c r="E319" s="290"/>
      <c r="F319" s="88"/>
      <c r="G319" s="88"/>
      <c r="H319" s="88"/>
      <c r="I319" s="88"/>
      <c r="J319" s="88"/>
      <c r="K319" s="88"/>
      <c r="L319" s="88"/>
      <c r="M319" s="88"/>
      <c r="N319" s="88"/>
      <c r="O319" s="106"/>
      <c r="P319" s="106"/>
      <c r="Q319" s="106"/>
      <c r="R319" s="88"/>
      <c r="S319" s="88"/>
      <c r="T319" s="88"/>
      <c r="U319" s="88"/>
      <c r="V319" s="88"/>
      <c r="W319" s="88"/>
      <c r="X319" s="106"/>
      <c r="Y319" s="106"/>
      <c r="Z319" s="107"/>
      <c r="AA319" s="37" t="s">
        <v>159</v>
      </c>
      <c r="AB319" s="17">
        <f t="shared" si="29"/>
        <v>0</v>
      </c>
      <c r="AC319" s="29">
        <v>96</v>
      </c>
      <c r="AD319" s="2">
        <f t="shared" si="27"/>
        <v>8</v>
      </c>
      <c r="AE319" s="2">
        <f t="shared" si="28"/>
        <v>0</v>
      </c>
      <c r="AG319" s="35"/>
    </row>
    <row r="320" spans="1:33" x14ac:dyDescent="0.35">
      <c r="A320" s="165" t="s">
        <v>204</v>
      </c>
      <c r="B320" s="135" t="s">
        <v>14</v>
      </c>
      <c r="C320" s="210" t="s">
        <v>18</v>
      </c>
      <c r="D320" s="175">
        <v>16</v>
      </c>
      <c r="E320" s="290"/>
      <c r="F320" s="88"/>
      <c r="G320" s="88"/>
      <c r="H320" s="88"/>
      <c r="I320" s="88"/>
      <c r="J320" s="88"/>
      <c r="K320" s="88"/>
      <c r="L320" s="88"/>
      <c r="M320" s="88"/>
      <c r="N320" s="88"/>
      <c r="O320" s="106"/>
      <c r="P320" s="106"/>
      <c r="Q320" s="106"/>
      <c r="R320" s="88"/>
      <c r="S320" s="88"/>
      <c r="T320" s="88"/>
      <c r="U320" s="88"/>
      <c r="V320" s="88"/>
      <c r="W320" s="88"/>
      <c r="X320" s="106"/>
      <c r="Y320" s="106"/>
      <c r="Z320" s="107"/>
      <c r="AA320" s="34" t="s">
        <v>14</v>
      </c>
      <c r="AB320" s="17">
        <f t="shared" si="29"/>
        <v>0</v>
      </c>
      <c r="AC320" s="29">
        <v>84</v>
      </c>
      <c r="AD320" s="2">
        <f t="shared" si="27"/>
        <v>7</v>
      </c>
      <c r="AE320" s="2">
        <f t="shared" si="28"/>
        <v>0</v>
      </c>
      <c r="AG320" s="35"/>
    </row>
    <row r="321" spans="1:33" x14ac:dyDescent="0.35">
      <c r="A321" s="165" t="s">
        <v>204</v>
      </c>
      <c r="B321" s="146" t="s">
        <v>56</v>
      </c>
      <c r="C321" s="224" t="s">
        <v>57</v>
      </c>
      <c r="D321" s="187">
        <v>18</v>
      </c>
      <c r="E321" s="290"/>
      <c r="F321" s="91"/>
      <c r="G321" s="91"/>
      <c r="H321" s="91"/>
      <c r="I321" s="91"/>
      <c r="J321" s="91"/>
      <c r="K321" s="91"/>
      <c r="L321" s="91"/>
      <c r="M321" s="91"/>
      <c r="N321" s="91"/>
      <c r="O321" s="108"/>
      <c r="P321" s="108"/>
      <c r="Q321" s="108"/>
      <c r="R321" s="91"/>
      <c r="S321" s="91"/>
      <c r="T321" s="91"/>
      <c r="U321" s="91"/>
      <c r="V321" s="91"/>
      <c r="W321" s="91"/>
      <c r="X321" s="106"/>
      <c r="Y321" s="106"/>
      <c r="Z321" s="107"/>
      <c r="AA321" s="37" t="s">
        <v>56</v>
      </c>
      <c r="AB321" s="17">
        <f t="shared" si="29"/>
        <v>0</v>
      </c>
      <c r="AC321" s="29">
        <v>60</v>
      </c>
      <c r="AD321" s="2">
        <f t="shared" si="27"/>
        <v>5</v>
      </c>
      <c r="AE321" s="2">
        <f t="shared" si="28"/>
        <v>0</v>
      </c>
      <c r="AG321" s="35"/>
    </row>
    <row r="322" spans="1:33" x14ac:dyDescent="0.35">
      <c r="A322" s="165" t="s">
        <v>204</v>
      </c>
      <c r="B322" s="146" t="s">
        <v>42</v>
      </c>
      <c r="C322" s="224" t="s">
        <v>41</v>
      </c>
      <c r="D322" s="187">
        <v>15</v>
      </c>
      <c r="E322" s="290"/>
      <c r="F322" s="88"/>
      <c r="G322" s="88"/>
      <c r="H322" s="88"/>
      <c r="I322" s="88"/>
      <c r="J322" s="88"/>
      <c r="K322" s="88"/>
      <c r="L322" s="88"/>
      <c r="M322" s="88"/>
      <c r="N322" s="88"/>
      <c r="O322" s="106"/>
      <c r="P322" s="106"/>
      <c r="Q322" s="106"/>
      <c r="R322" s="88"/>
      <c r="S322" s="88"/>
      <c r="T322" s="88"/>
      <c r="U322" s="88"/>
      <c r="V322" s="88"/>
      <c r="W322" s="88"/>
      <c r="X322" s="106"/>
      <c r="Y322" s="106"/>
      <c r="Z322" s="107"/>
      <c r="AA322" s="34" t="s">
        <v>42</v>
      </c>
      <c r="AB322" s="17">
        <f t="shared" si="29"/>
        <v>0</v>
      </c>
      <c r="AC322" s="29">
        <v>84</v>
      </c>
      <c r="AD322" s="2">
        <f t="shared" si="27"/>
        <v>7</v>
      </c>
      <c r="AE322" s="2">
        <f t="shared" si="28"/>
        <v>0</v>
      </c>
      <c r="AG322" s="35"/>
    </row>
    <row r="323" spans="1:33" ht="15" thickBot="1" x14ac:dyDescent="0.4">
      <c r="A323" s="160" t="s">
        <v>204</v>
      </c>
      <c r="B323" s="139" t="s">
        <v>53</v>
      </c>
      <c r="C323" s="232" t="s">
        <v>55</v>
      </c>
      <c r="D323" s="179">
        <v>16</v>
      </c>
      <c r="E323" s="290"/>
      <c r="F323" s="91"/>
      <c r="G323" s="91"/>
      <c r="H323" s="91"/>
      <c r="I323" s="91"/>
      <c r="J323" s="91"/>
      <c r="K323" s="91"/>
      <c r="L323" s="91"/>
      <c r="M323" s="91"/>
      <c r="N323" s="91"/>
      <c r="O323" s="108"/>
      <c r="P323" s="108"/>
      <c r="Q323" s="108"/>
      <c r="R323" s="91"/>
      <c r="S323" s="91"/>
      <c r="T323" s="91"/>
      <c r="U323" s="91"/>
      <c r="V323" s="91"/>
      <c r="W323" s="91"/>
      <c r="X323" s="108"/>
      <c r="Y323" s="108"/>
      <c r="Z323" s="109"/>
      <c r="AA323" s="34" t="s">
        <v>53</v>
      </c>
      <c r="AB323" s="17">
        <f t="shared" si="29"/>
        <v>0</v>
      </c>
      <c r="AC323" s="29">
        <v>96</v>
      </c>
      <c r="AD323" s="2">
        <f t="shared" si="27"/>
        <v>8</v>
      </c>
      <c r="AE323" s="2">
        <f t="shared" si="28"/>
        <v>0</v>
      </c>
      <c r="AG323" s="35"/>
    </row>
    <row r="324" spans="1:33" x14ac:dyDescent="0.35">
      <c r="A324" s="157" t="s">
        <v>205</v>
      </c>
      <c r="B324" s="136" t="s">
        <v>206</v>
      </c>
      <c r="C324" s="228" t="s">
        <v>71</v>
      </c>
      <c r="D324" s="169"/>
      <c r="E324" s="98"/>
      <c r="F324" s="87"/>
      <c r="G324" s="87"/>
      <c r="H324" s="87"/>
      <c r="I324" s="87"/>
      <c r="J324" s="87"/>
      <c r="K324" s="87"/>
      <c r="L324" s="87"/>
      <c r="M324" s="87"/>
      <c r="N324" s="87"/>
      <c r="O324" s="102"/>
      <c r="P324" s="102"/>
      <c r="Q324" s="102"/>
      <c r="R324" s="87"/>
      <c r="S324" s="87"/>
      <c r="T324" s="87"/>
      <c r="U324" s="87"/>
      <c r="V324" s="87"/>
      <c r="W324" s="87"/>
      <c r="X324" s="102"/>
      <c r="Y324" s="102"/>
      <c r="Z324" s="103"/>
      <c r="AA324" s="34" t="s">
        <v>87</v>
      </c>
      <c r="AB324" s="17">
        <f t="shared" si="29"/>
        <v>0</v>
      </c>
      <c r="AC324" s="29">
        <v>60</v>
      </c>
      <c r="AD324" s="2">
        <f t="shared" si="27"/>
        <v>5</v>
      </c>
      <c r="AE324" s="2">
        <f t="shared" si="28"/>
        <v>0</v>
      </c>
      <c r="AG324" s="35"/>
    </row>
    <row r="325" spans="1:33" x14ac:dyDescent="0.35">
      <c r="A325" s="159" t="s">
        <v>205</v>
      </c>
      <c r="B325" s="135" t="s">
        <v>321</v>
      </c>
      <c r="C325" s="210" t="s">
        <v>313</v>
      </c>
      <c r="D325" s="175">
        <v>12</v>
      </c>
      <c r="E325" s="99"/>
      <c r="F325" s="88"/>
      <c r="G325" s="88"/>
      <c r="H325" s="88"/>
      <c r="I325" s="88"/>
      <c r="J325" s="88"/>
      <c r="K325" s="88"/>
      <c r="L325" s="88"/>
      <c r="M325" s="88"/>
      <c r="N325" s="88"/>
      <c r="O325" s="106"/>
      <c r="P325" s="106"/>
      <c r="Q325" s="106"/>
      <c r="R325" s="88"/>
      <c r="S325" s="88"/>
      <c r="T325" s="88"/>
      <c r="U325" s="88"/>
      <c r="V325" s="88"/>
      <c r="W325" s="88"/>
      <c r="X325" s="106"/>
      <c r="Y325" s="106"/>
      <c r="Z325" s="107"/>
      <c r="AA325" s="34" t="s">
        <v>319</v>
      </c>
      <c r="AB325" s="17">
        <f t="shared" si="29"/>
        <v>0</v>
      </c>
      <c r="AC325" s="29">
        <v>84</v>
      </c>
      <c r="AD325" s="2">
        <f t="shared" ref="AD325:AD333" si="33">AC325/12</f>
        <v>7</v>
      </c>
      <c r="AE325" s="2">
        <f t="shared" si="28"/>
        <v>0</v>
      </c>
      <c r="AG325" s="35"/>
    </row>
    <row r="326" spans="1:33" x14ac:dyDescent="0.35">
      <c r="A326" s="159" t="s">
        <v>205</v>
      </c>
      <c r="B326" s="135" t="s">
        <v>514</v>
      </c>
      <c r="C326" s="210" t="s">
        <v>30</v>
      </c>
      <c r="D326" s="175">
        <v>12</v>
      </c>
      <c r="E326" s="99"/>
      <c r="F326" s="88"/>
      <c r="G326" s="88"/>
      <c r="H326" s="88"/>
      <c r="I326" s="88"/>
      <c r="J326" s="88"/>
      <c r="K326" s="88"/>
      <c r="L326" s="88"/>
      <c r="M326" s="88"/>
      <c r="N326" s="88"/>
      <c r="O326" s="106"/>
      <c r="P326" s="106"/>
      <c r="Q326" s="106"/>
      <c r="R326" s="88"/>
      <c r="S326" s="88"/>
      <c r="T326" s="88"/>
      <c r="U326" s="88"/>
      <c r="V326" s="88"/>
      <c r="W326" s="88"/>
      <c r="X326" s="106"/>
      <c r="Y326" s="106"/>
      <c r="Z326" s="107"/>
      <c r="AA326" s="34" t="s">
        <v>31</v>
      </c>
      <c r="AB326" s="17">
        <f t="shared" si="29"/>
        <v>0</v>
      </c>
      <c r="AC326" s="29">
        <v>60</v>
      </c>
      <c r="AD326" s="2">
        <f t="shared" si="33"/>
        <v>5</v>
      </c>
      <c r="AE326" s="2">
        <f t="shared" ref="AE326:AE333" si="34">ROUND(IFERROR(AB326/D326,0),)</f>
        <v>0</v>
      </c>
      <c r="AG326" s="35"/>
    </row>
    <row r="327" spans="1:33" x14ac:dyDescent="0.35">
      <c r="A327" s="159" t="s">
        <v>205</v>
      </c>
      <c r="B327" s="135" t="s">
        <v>207</v>
      </c>
      <c r="C327" s="210" t="s">
        <v>109</v>
      </c>
      <c r="D327" s="175">
        <v>15</v>
      </c>
      <c r="E327" s="99"/>
      <c r="F327" s="88"/>
      <c r="G327" s="88"/>
      <c r="H327" s="88"/>
      <c r="I327" s="88"/>
      <c r="J327" s="88"/>
      <c r="K327" s="88"/>
      <c r="L327" s="88"/>
      <c r="M327" s="88"/>
      <c r="N327" s="88"/>
      <c r="O327" s="106"/>
      <c r="P327" s="106"/>
      <c r="Q327" s="106"/>
      <c r="R327" s="88"/>
      <c r="S327" s="88"/>
      <c r="T327" s="88"/>
      <c r="U327" s="88"/>
      <c r="V327" s="88"/>
      <c r="W327" s="88"/>
      <c r="X327" s="106"/>
      <c r="Y327" s="106"/>
      <c r="Z327" s="107"/>
      <c r="AA327" s="34"/>
      <c r="AB327" s="17">
        <f t="shared" si="29"/>
        <v>0</v>
      </c>
      <c r="AC327" s="29">
        <v>96</v>
      </c>
      <c r="AD327" s="2">
        <f t="shared" si="33"/>
        <v>8</v>
      </c>
      <c r="AE327" s="2">
        <f t="shared" si="34"/>
        <v>0</v>
      </c>
      <c r="AG327" s="35"/>
    </row>
    <row r="328" spans="1:33" x14ac:dyDescent="0.35">
      <c r="A328" s="165" t="s">
        <v>205</v>
      </c>
      <c r="B328" s="135" t="s">
        <v>95</v>
      </c>
      <c r="C328" s="210" t="s">
        <v>96</v>
      </c>
      <c r="D328" s="175">
        <v>16</v>
      </c>
      <c r="E328" s="99"/>
      <c r="F328" s="91"/>
      <c r="G328" s="91"/>
      <c r="H328" s="91"/>
      <c r="I328" s="91"/>
      <c r="J328" s="91"/>
      <c r="K328" s="91"/>
      <c r="L328" s="91"/>
      <c r="M328" s="91"/>
      <c r="N328" s="91"/>
      <c r="O328" s="108"/>
      <c r="P328" s="108"/>
      <c r="Q328" s="108"/>
      <c r="R328" s="91"/>
      <c r="S328" s="91"/>
      <c r="T328" s="91"/>
      <c r="U328" s="91"/>
      <c r="V328" s="91"/>
      <c r="W328" s="91"/>
      <c r="X328" s="106"/>
      <c r="Y328" s="106"/>
      <c r="Z328" s="107"/>
      <c r="AA328" s="34" t="s">
        <v>35</v>
      </c>
      <c r="AB328" s="17">
        <f t="shared" si="29"/>
        <v>0</v>
      </c>
      <c r="AC328" s="29">
        <v>96</v>
      </c>
      <c r="AD328" s="2">
        <f t="shared" si="33"/>
        <v>8</v>
      </c>
      <c r="AE328" s="2">
        <f t="shared" si="34"/>
        <v>0</v>
      </c>
      <c r="AG328" s="35"/>
    </row>
    <row r="329" spans="1:33" x14ac:dyDescent="0.35">
      <c r="A329" s="165" t="s">
        <v>205</v>
      </c>
      <c r="B329" s="146" t="s">
        <v>34</v>
      </c>
      <c r="C329" s="224" t="s">
        <v>48</v>
      </c>
      <c r="D329" s="187">
        <v>16</v>
      </c>
      <c r="E329" s="99"/>
      <c r="F329" s="88"/>
      <c r="G329" s="88"/>
      <c r="H329" s="88"/>
      <c r="I329" s="88"/>
      <c r="J329" s="88"/>
      <c r="K329" s="88"/>
      <c r="L329" s="88"/>
      <c r="M329" s="88"/>
      <c r="N329" s="88"/>
      <c r="O329" s="106"/>
      <c r="P329" s="106"/>
      <c r="Q329" s="106"/>
      <c r="R329" s="88"/>
      <c r="S329" s="88"/>
      <c r="T329" s="88"/>
      <c r="U329" s="88"/>
      <c r="V329" s="88"/>
      <c r="W329" s="88"/>
      <c r="X329" s="106"/>
      <c r="Y329" s="106"/>
      <c r="Z329" s="107"/>
      <c r="AA329" s="34" t="s">
        <v>35</v>
      </c>
      <c r="AB329" s="17">
        <f t="shared" ref="AB329:AB333" si="35">SUM(F329:Z329)</f>
        <v>0</v>
      </c>
      <c r="AC329" s="29">
        <v>84</v>
      </c>
      <c r="AD329" s="2">
        <f t="shared" si="33"/>
        <v>7</v>
      </c>
      <c r="AE329" s="2">
        <f t="shared" si="34"/>
        <v>0</v>
      </c>
      <c r="AG329" s="35"/>
    </row>
    <row r="330" spans="1:33" x14ac:dyDescent="0.35">
      <c r="A330" s="165" t="s">
        <v>205</v>
      </c>
      <c r="B330" s="135" t="s">
        <v>208</v>
      </c>
      <c r="C330" s="210" t="s">
        <v>348</v>
      </c>
      <c r="D330" s="175">
        <v>16</v>
      </c>
      <c r="E330" s="99"/>
      <c r="F330" s="88"/>
      <c r="G330" s="88"/>
      <c r="H330" s="88"/>
      <c r="I330" s="88"/>
      <c r="J330" s="88"/>
      <c r="K330" s="88"/>
      <c r="L330" s="88"/>
      <c r="M330" s="88"/>
      <c r="N330" s="88"/>
      <c r="O330" s="106"/>
      <c r="P330" s="106"/>
      <c r="Q330" s="106"/>
      <c r="R330" s="88"/>
      <c r="S330" s="88"/>
      <c r="T330" s="88"/>
      <c r="U330" s="88"/>
      <c r="V330" s="88"/>
      <c r="W330" s="88"/>
      <c r="X330" s="106"/>
      <c r="Y330" s="106"/>
      <c r="Z330" s="107"/>
      <c r="AA330" s="34" t="s">
        <v>42</v>
      </c>
      <c r="AB330" s="17">
        <f>SUM(F330:Z330)</f>
        <v>0</v>
      </c>
      <c r="AC330" s="29">
        <v>84</v>
      </c>
      <c r="AD330" s="2">
        <f t="shared" si="33"/>
        <v>7</v>
      </c>
      <c r="AE330" s="2">
        <f t="shared" si="34"/>
        <v>0</v>
      </c>
      <c r="AG330" s="35"/>
    </row>
    <row r="331" spans="1:33" ht="15" thickBot="1" x14ac:dyDescent="0.4">
      <c r="A331" s="166" t="s">
        <v>205</v>
      </c>
      <c r="B331" s="139" t="s">
        <v>513</v>
      </c>
      <c r="C331" s="240" t="s">
        <v>423</v>
      </c>
      <c r="D331" s="179">
        <v>12</v>
      </c>
      <c r="E331" s="99"/>
      <c r="F331" s="88"/>
      <c r="G331" s="88"/>
      <c r="H331" s="88"/>
      <c r="I331" s="88"/>
      <c r="J331" s="88"/>
      <c r="K331" s="88"/>
      <c r="L331" s="88"/>
      <c r="M331" s="88"/>
      <c r="N331" s="88"/>
      <c r="O331" s="106"/>
      <c r="P331" s="106"/>
      <c r="Q331" s="108"/>
      <c r="R331" s="88"/>
      <c r="S331" s="88"/>
      <c r="T331" s="91"/>
      <c r="U331" s="91"/>
      <c r="V331" s="91"/>
      <c r="W331" s="91"/>
      <c r="X331" s="108"/>
      <c r="Y331" s="108"/>
      <c r="Z331" s="109"/>
      <c r="AA331" s="34" t="s">
        <v>42</v>
      </c>
      <c r="AB331" s="17">
        <f t="shared" si="35"/>
        <v>0</v>
      </c>
      <c r="AC331" s="29">
        <v>84</v>
      </c>
      <c r="AD331" s="2">
        <f t="shared" ref="AD331" si="36">AC331/12</f>
        <v>7</v>
      </c>
      <c r="AE331" s="2">
        <f t="shared" ref="AE331" si="37">ROUND(IFERROR(AB331/D331,0),)</f>
        <v>0</v>
      </c>
      <c r="AG331" s="35"/>
    </row>
    <row r="332" spans="1:33" x14ac:dyDescent="0.35">
      <c r="A332" s="168">
        <v>14</v>
      </c>
      <c r="B332" s="136" t="s">
        <v>467</v>
      </c>
      <c r="C332" s="228" t="s">
        <v>111</v>
      </c>
      <c r="D332" s="169">
        <v>15</v>
      </c>
      <c r="E332" s="130"/>
      <c r="F332" s="87"/>
      <c r="G332" s="87"/>
      <c r="H332" s="87"/>
      <c r="I332" s="87"/>
      <c r="J332" s="87"/>
      <c r="K332" s="87"/>
      <c r="L332" s="87"/>
      <c r="M332" s="87"/>
      <c r="N332" s="87"/>
      <c r="O332" s="102"/>
      <c r="P332" s="102"/>
      <c r="Q332" s="102"/>
      <c r="R332" s="87"/>
      <c r="S332" s="87"/>
      <c r="T332" s="87"/>
      <c r="U332" s="87"/>
      <c r="V332" s="87"/>
      <c r="W332" s="87"/>
      <c r="X332" s="102"/>
      <c r="Y332" s="102"/>
      <c r="Z332" s="103"/>
      <c r="AA332" s="34" t="s">
        <v>42</v>
      </c>
      <c r="AB332" s="17">
        <f t="shared" si="35"/>
        <v>0</v>
      </c>
      <c r="AC332" s="29">
        <v>84</v>
      </c>
      <c r="AD332" s="2">
        <f t="shared" ref="AD332" si="38">AC332/12</f>
        <v>7</v>
      </c>
      <c r="AE332" s="2">
        <f t="shared" ref="AE332" si="39">ROUND(IFERROR(AB332/D332,0),)</f>
        <v>0</v>
      </c>
      <c r="AG332" s="35"/>
    </row>
    <row r="333" spans="1:33" ht="15" thickBot="1" x14ac:dyDescent="0.4">
      <c r="A333" s="167">
        <v>14</v>
      </c>
      <c r="B333" s="137" t="s">
        <v>468</v>
      </c>
      <c r="C333" s="229" t="s">
        <v>114</v>
      </c>
      <c r="D333" s="176">
        <v>15</v>
      </c>
      <c r="E333" s="100"/>
      <c r="F333" s="92"/>
      <c r="G333" s="92"/>
      <c r="H333" s="92"/>
      <c r="I333" s="92"/>
      <c r="J333" s="92"/>
      <c r="K333" s="92"/>
      <c r="L333" s="92"/>
      <c r="M333" s="92"/>
      <c r="N333" s="92"/>
      <c r="O333" s="112"/>
      <c r="P333" s="112"/>
      <c r="Q333" s="112"/>
      <c r="R333" s="92"/>
      <c r="S333" s="92"/>
      <c r="T333" s="92"/>
      <c r="U333" s="92"/>
      <c r="V333" s="92"/>
      <c r="W333" s="92"/>
      <c r="X333" s="112"/>
      <c r="Y333" s="112"/>
      <c r="Z333" s="113"/>
      <c r="AA333" s="101" t="s">
        <v>24</v>
      </c>
      <c r="AB333" s="17">
        <f t="shared" si="35"/>
        <v>0</v>
      </c>
      <c r="AC333" s="29">
        <v>84</v>
      </c>
      <c r="AD333" s="2">
        <f t="shared" si="33"/>
        <v>7</v>
      </c>
      <c r="AE333" s="2">
        <f t="shared" si="34"/>
        <v>0</v>
      </c>
      <c r="AG333" s="35"/>
    </row>
    <row r="334" spans="1:33" x14ac:dyDescent="0.35">
      <c r="F334" s="202">
        <f t="shared" ref="F334:Z334" si="40">SUM(F4:F333)</f>
        <v>1153</v>
      </c>
      <c r="G334" s="202">
        <f t="shared" si="40"/>
        <v>278</v>
      </c>
      <c r="H334" s="202">
        <f t="shared" si="40"/>
        <v>804</v>
      </c>
      <c r="I334" s="202">
        <f t="shared" si="40"/>
        <v>1092</v>
      </c>
      <c r="J334" s="202">
        <f t="shared" si="40"/>
        <v>278</v>
      </c>
      <c r="K334" s="202">
        <f t="shared" si="40"/>
        <v>804</v>
      </c>
      <c r="L334" s="202">
        <f t="shared" si="40"/>
        <v>1028</v>
      </c>
      <c r="M334" s="202">
        <f t="shared" si="40"/>
        <v>278</v>
      </c>
      <c r="N334" s="202">
        <f t="shared" si="40"/>
        <v>804</v>
      </c>
      <c r="O334" s="202">
        <f t="shared" si="40"/>
        <v>0</v>
      </c>
      <c r="P334" s="202">
        <f t="shared" si="40"/>
        <v>0</v>
      </c>
      <c r="Q334" s="202">
        <f t="shared" si="40"/>
        <v>0</v>
      </c>
      <c r="R334" s="202">
        <f t="shared" si="40"/>
        <v>701</v>
      </c>
      <c r="S334" s="202">
        <f t="shared" si="40"/>
        <v>200</v>
      </c>
      <c r="T334" s="202">
        <f t="shared" si="40"/>
        <v>534</v>
      </c>
      <c r="U334" s="202">
        <f t="shared" si="40"/>
        <v>284</v>
      </c>
      <c r="V334" s="202">
        <f t="shared" si="40"/>
        <v>36</v>
      </c>
      <c r="W334" s="202">
        <f t="shared" si="40"/>
        <v>246</v>
      </c>
      <c r="X334" s="202">
        <f t="shared" si="40"/>
        <v>0</v>
      </c>
      <c r="Y334" s="202">
        <f t="shared" si="40"/>
        <v>0</v>
      </c>
      <c r="Z334" s="202">
        <f t="shared" si="40"/>
        <v>0</v>
      </c>
      <c r="AB334" s="205">
        <f>SUM(F334:Z334)</f>
        <v>8520</v>
      </c>
    </row>
    <row r="336" spans="1:33" x14ac:dyDescent="0.35">
      <c r="F336" s="241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</row>
    <row r="337" spans="2:31" x14ac:dyDescent="0.35">
      <c r="F337" s="201"/>
      <c r="G337" s="201"/>
      <c r="H337" s="201"/>
      <c r="I337" s="201"/>
      <c r="J337" s="201"/>
      <c r="K337" s="201"/>
      <c r="L337" s="201"/>
      <c r="M337" s="201"/>
      <c r="N337" s="201"/>
      <c r="O337" s="201"/>
      <c r="P337" s="201"/>
      <c r="Q337" s="201"/>
      <c r="R337" s="201"/>
      <c r="S337" s="201"/>
      <c r="T337" s="201"/>
      <c r="U337" s="201"/>
      <c r="V337" s="201"/>
      <c r="W337" s="201"/>
      <c r="AB337" s="84"/>
    </row>
    <row r="338" spans="2:31" x14ac:dyDescent="0.35">
      <c r="B338" s="305" t="s">
        <v>8</v>
      </c>
      <c r="C338" s="305"/>
      <c r="D338" s="44"/>
      <c r="E338" s="44"/>
      <c r="F338" s="308">
        <f>F1</f>
        <v>46237</v>
      </c>
      <c r="G338" s="309"/>
      <c r="H338" s="310"/>
      <c r="I338" s="308">
        <f>I1</f>
        <v>46238</v>
      </c>
      <c r="J338" s="309"/>
      <c r="K338" s="310"/>
      <c r="L338" s="308">
        <f>L1</f>
        <v>46239</v>
      </c>
      <c r="M338" s="309"/>
      <c r="N338" s="310"/>
      <c r="O338" s="308">
        <f>O1</f>
        <v>46240</v>
      </c>
      <c r="P338" s="309"/>
      <c r="Q338" s="310"/>
      <c r="R338" s="308">
        <f>R1</f>
        <v>46241</v>
      </c>
      <c r="S338" s="309"/>
      <c r="T338" s="310"/>
      <c r="U338" s="308">
        <f>U1</f>
        <v>46242</v>
      </c>
      <c r="V338" s="309"/>
      <c r="W338" s="310"/>
      <c r="X338" s="308">
        <f>X1</f>
        <v>46243</v>
      </c>
      <c r="Y338" s="309"/>
      <c r="Z338" s="310"/>
      <c r="AA338" s="4"/>
      <c r="AB338" s="4"/>
      <c r="AC338" s="4"/>
    </row>
    <row r="339" spans="2:31" x14ac:dyDescent="0.35">
      <c r="B339" s="306"/>
      <c r="C339" s="306"/>
      <c r="D339" s="45"/>
      <c r="E339" s="45"/>
      <c r="F339" s="302" t="s">
        <v>1</v>
      </c>
      <c r="G339" s="303"/>
      <c r="H339" s="304"/>
      <c r="I339" s="302" t="s">
        <v>2</v>
      </c>
      <c r="J339" s="303"/>
      <c r="K339" s="304"/>
      <c r="L339" s="302" t="s">
        <v>3</v>
      </c>
      <c r="M339" s="303"/>
      <c r="N339" s="304"/>
      <c r="O339" s="302" t="s">
        <v>4</v>
      </c>
      <c r="P339" s="303"/>
      <c r="Q339" s="304"/>
      <c r="R339" s="302" t="s">
        <v>5</v>
      </c>
      <c r="S339" s="303"/>
      <c r="T339" s="304"/>
      <c r="U339" s="302" t="s">
        <v>6</v>
      </c>
      <c r="V339" s="303"/>
      <c r="W339" s="304"/>
      <c r="X339" s="302" t="s">
        <v>7</v>
      </c>
      <c r="Y339" s="303"/>
      <c r="Z339" s="304"/>
      <c r="AA339" s="311" t="s">
        <v>360</v>
      </c>
      <c r="AB339" s="312"/>
      <c r="AC339" s="312"/>
      <c r="AD339" s="20"/>
    </row>
    <row r="340" spans="2:31" ht="12.4" customHeight="1" x14ac:dyDescent="0.35">
      <c r="B340" s="307"/>
      <c r="C340" s="307"/>
      <c r="D340" s="46"/>
      <c r="E340" s="46"/>
      <c r="F340" s="70" t="s">
        <v>10</v>
      </c>
      <c r="G340" s="71" t="s">
        <v>11</v>
      </c>
      <c r="H340" s="72" t="s">
        <v>12</v>
      </c>
      <c r="I340" s="70" t="s">
        <v>10</v>
      </c>
      <c r="J340" s="71" t="s">
        <v>11</v>
      </c>
      <c r="K340" s="72" t="s">
        <v>12</v>
      </c>
      <c r="L340" s="70" t="s">
        <v>10</v>
      </c>
      <c r="M340" s="71" t="s">
        <v>11</v>
      </c>
      <c r="N340" s="72" t="s">
        <v>12</v>
      </c>
      <c r="O340" s="70" t="s">
        <v>10</v>
      </c>
      <c r="P340" s="71" t="s">
        <v>11</v>
      </c>
      <c r="Q340" s="72" t="s">
        <v>12</v>
      </c>
      <c r="R340" s="70" t="s">
        <v>10</v>
      </c>
      <c r="S340" s="71" t="s">
        <v>11</v>
      </c>
      <c r="T340" s="72" t="s">
        <v>12</v>
      </c>
      <c r="U340" s="70" t="s">
        <v>10</v>
      </c>
      <c r="V340" s="71" t="s">
        <v>11</v>
      </c>
      <c r="W340" s="72" t="s">
        <v>12</v>
      </c>
      <c r="X340" s="70" t="s">
        <v>10</v>
      </c>
      <c r="Y340" s="71" t="s">
        <v>11</v>
      </c>
      <c r="Z340" s="72" t="s">
        <v>12</v>
      </c>
      <c r="AA340" s="73" t="s">
        <v>361</v>
      </c>
      <c r="AB340" s="73" t="s">
        <v>362</v>
      </c>
      <c r="AC340" s="73" t="s">
        <v>363</v>
      </c>
      <c r="AD340" s="21"/>
    </row>
    <row r="341" spans="2:31" x14ac:dyDescent="0.35">
      <c r="B341" s="47" t="s">
        <v>209</v>
      </c>
      <c r="C341" s="48">
        <f t="shared" ref="C341:C408" si="41">SUM(F341:Z341)</f>
        <v>0</v>
      </c>
      <c r="D341" s="48"/>
      <c r="E341" s="63"/>
      <c r="F341" s="120">
        <f t="shared" ref="F341:Z341" si="42">SUM(F249,F252,F256,F255,F253,F254,F295,F296)</f>
        <v>0</v>
      </c>
      <c r="G341" s="120">
        <f t="shared" si="42"/>
        <v>0</v>
      </c>
      <c r="H341" s="120">
        <f t="shared" si="42"/>
        <v>0</v>
      </c>
      <c r="I341" s="120">
        <f t="shared" si="42"/>
        <v>0</v>
      </c>
      <c r="J341" s="120">
        <f t="shared" si="42"/>
        <v>0</v>
      </c>
      <c r="K341" s="120">
        <f t="shared" si="42"/>
        <v>0</v>
      </c>
      <c r="L341" s="120">
        <f t="shared" si="42"/>
        <v>0</v>
      </c>
      <c r="M341" s="120">
        <f t="shared" si="42"/>
        <v>0</v>
      </c>
      <c r="N341" s="120">
        <f t="shared" si="42"/>
        <v>0</v>
      </c>
      <c r="O341" s="120">
        <f t="shared" si="42"/>
        <v>0</v>
      </c>
      <c r="P341" s="120">
        <f t="shared" si="42"/>
        <v>0</v>
      </c>
      <c r="Q341" s="120">
        <f t="shared" si="42"/>
        <v>0</v>
      </c>
      <c r="R341" s="120">
        <f t="shared" si="42"/>
        <v>0</v>
      </c>
      <c r="S341" s="120">
        <f t="shared" si="42"/>
        <v>0</v>
      </c>
      <c r="T341" s="120">
        <f t="shared" si="42"/>
        <v>0</v>
      </c>
      <c r="U341" s="120">
        <f t="shared" si="42"/>
        <v>0</v>
      </c>
      <c r="V341" s="120">
        <f t="shared" si="42"/>
        <v>0</v>
      </c>
      <c r="W341" s="120">
        <f t="shared" si="42"/>
        <v>0</v>
      </c>
      <c r="X341" s="120">
        <f t="shared" si="42"/>
        <v>0</v>
      </c>
      <c r="Y341" s="120">
        <f t="shared" si="42"/>
        <v>0</v>
      </c>
      <c r="Z341" s="120">
        <f t="shared" si="42"/>
        <v>0</v>
      </c>
      <c r="AA341" s="74">
        <v>1630</v>
      </c>
      <c r="AB341" s="74">
        <v>1956</v>
      </c>
      <c r="AC341" s="75" t="str">
        <f>IF(C341&lt;=AA341,"WITHIN 5D",IF(C341&lt;=AB341,"WITHIN 6D","OVER CAPACITY"))</f>
        <v>WITHIN 5D</v>
      </c>
      <c r="AD341" s="2"/>
    </row>
    <row r="342" spans="2:31" x14ac:dyDescent="0.35">
      <c r="B342" s="47" t="s">
        <v>210</v>
      </c>
      <c r="C342" s="48">
        <f t="shared" si="41"/>
        <v>0</v>
      </c>
      <c r="D342" s="48"/>
      <c r="E342" s="63"/>
      <c r="F342" s="120">
        <f t="shared" ref="F342:Z342" si="43">SUM(F239,F240,F241,F242,F243,F244,F284,F285,F286,F287,F288,F289)</f>
        <v>0</v>
      </c>
      <c r="G342" s="120">
        <f t="shared" si="43"/>
        <v>0</v>
      </c>
      <c r="H342" s="120">
        <f t="shared" si="43"/>
        <v>0</v>
      </c>
      <c r="I342" s="120">
        <f t="shared" si="43"/>
        <v>0</v>
      </c>
      <c r="J342" s="120">
        <f t="shared" si="43"/>
        <v>0</v>
      </c>
      <c r="K342" s="120">
        <f t="shared" si="43"/>
        <v>0</v>
      </c>
      <c r="L342" s="120">
        <f t="shared" si="43"/>
        <v>0</v>
      </c>
      <c r="M342" s="120">
        <f t="shared" si="43"/>
        <v>0</v>
      </c>
      <c r="N342" s="120">
        <f t="shared" si="43"/>
        <v>0</v>
      </c>
      <c r="O342" s="120">
        <f t="shared" si="43"/>
        <v>0</v>
      </c>
      <c r="P342" s="120">
        <f t="shared" si="43"/>
        <v>0</v>
      </c>
      <c r="Q342" s="120">
        <f t="shared" si="43"/>
        <v>0</v>
      </c>
      <c r="R342" s="120">
        <f t="shared" si="43"/>
        <v>0</v>
      </c>
      <c r="S342" s="120">
        <f t="shared" si="43"/>
        <v>0</v>
      </c>
      <c r="T342" s="120">
        <f t="shared" si="43"/>
        <v>0</v>
      </c>
      <c r="U342" s="120">
        <f t="shared" si="43"/>
        <v>0</v>
      </c>
      <c r="V342" s="120">
        <f t="shared" si="43"/>
        <v>0</v>
      </c>
      <c r="W342" s="120">
        <f t="shared" si="43"/>
        <v>0</v>
      </c>
      <c r="X342" s="120">
        <f t="shared" si="43"/>
        <v>0</v>
      </c>
      <c r="Y342" s="120">
        <f t="shared" si="43"/>
        <v>0</v>
      </c>
      <c r="Z342" s="120">
        <f t="shared" si="43"/>
        <v>0</v>
      </c>
      <c r="AA342" s="74">
        <v>1630</v>
      </c>
      <c r="AB342" s="74">
        <v>1956</v>
      </c>
      <c r="AC342" s="75" t="str">
        <f t="shared" ref="AC342:AC409" si="44">IF(C342&lt;=AA342,"WITHIN 5D",IF(C342&lt;=AB342,"WITHIN 6D","OVER CAPACITY"))</f>
        <v>WITHIN 5D</v>
      </c>
      <c r="AD342" s="2"/>
    </row>
    <row r="343" spans="2:31" x14ac:dyDescent="0.35">
      <c r="B343" s="47" t="s">
        <v>211</v>
      </c>
      <c r="C343" s="48">
        <f t="shared" si="41"/>
        <v>0</v>
      </c>
      <c r="D343" s="48"/>
      <c r="E343" s="63"/>
      <c r="F343" s="120">
        <f t="shared" ref="F343:Z343" si="45">SUM(F235:F238,F245:F248,F250:F251,F290:F294)</f>
        <v>0</v>
      </c>
      <c r="G343" s="120">
        <f t="shared" si="45"/>
        <v>0</v>
      </c>
      <c r="H343" s="120">
        <f t="shared" si="45"/>
        <v>0</v>
      </c>
      <c r="I343" s="120">
        <f t="shared" si="45"/>
        <v>0</v>
      </c>
      <c r="J343" s="120">
        <f t="shared" si="45"/>
        <v>0</v>
      </c>
      <c r="K343" s="120">
        <f t="shared" si="45"/>
        <v>0</v>
      </c>
      <c r="L343" s="120">
        <f t="shared" si="45"/>
        <v>0</v>
      </c>
      <c r="M343" s="120">
        <f t="shared" si="45"/>
        <v>0</v>
      </c>
      <c r="N343" s="120">
        <f t="shared" si="45"/>
        <v>0</v>
      </c>
      <c r="O343" s="120">
        <f t="shared" si="45"/>
        <v>0</v>
      </c>
      <c r="P343" s="120">
        <f t="shared" si="45"/>
        <v>0</v>
      </c>
      <c r="Q343" s="120">
        <f t="shared" si="45"/>
        <v>0</v>
      </c>
      <c r="R343" s="120">
        <f t="shared" si="45"/>
        <v>0</v>
      </c>
      <c r="S343" s="120">
        <f t="shared" si="45"/>
        <v>0</v>
      </c>
      <c r="T343" s="120">
        <f t="shared" si="45"/>
        <v>0</v>
      </c>
      <c r="U343" s="120">
        <f t="shared" si="45"/>
        <v>0</v>
      </c>
      <c r="V343" s="120">
        <f t="shared" si="45"/>
        <v>0</v>
      </c>
      <c r="W343" s="120">
        <f t="shared" si="45"/>
        <v>0</v>
      </c>
      <c r="X343" s="120">
        <f t="shared" si="45"/>
        <v>0</v>
      </c>
      <c r="Y343" s="120">
        <f t="shared" si="45"/>
        <v>0</v>
      </c>
      <c r="Z343" s="120">
        <f t="shared" si="45"/>
        <v>0</v>
      </c>
      <c r="AA343" s="74">
        <v>1630</v>
      </c>
      <c r="AB343" s="74">
        <v>1956</v>
      </c>
      <c r="AC343" s="75" t="str">
        <f t="shared" si="44"/>
        <v>WITHIN 5D</v>
      </c>
      <c r="AD343" s="2"/>
    </row>
    <row r="344" spans="2:31" x14ac:dyDescent="0.35">
      <c r="B344" s="47" t="s">
        <v>400</v>
      </c>
      <c r="C344" s="48">
        <f t="shared" si="41"/>
        <v>80</v>
      </c>
      <c r="D344" s="48"/>
      <c r="E344" s="63"/>
      <c r="F344" s="120">
        <f t="shared" ref="F344:Z344" si="46">SUM(F229,F230,F265,F266,F305,F306)</f>
        <v>0</v>
      </c>
      <c r="G344" s="120">
        <f t="shared" si="46"/>
        <v>0</v>
      </c>
      <c r="H344" s="120">
        <f t="shared" si="46"/>
        <v>80</v>
      </c>
      <c r="I344" s="120">
        <f t="shared" si="46"/>
        <v>0</v>
      </c>
      <c r="J344" s="120">
        <f t="shared" si="46"/>
        <v>0</v>
      </c>
      <c r="K344" s="120">
        <f t="shared" si="46"/>
        <v>0</v>
      </c>
      <c r="L344" s="120">
        <f t="shared" si="46"/>
        <v>0</v>
      </c>
      <c r="M344" s="120">
        <f t="shared" si="46"/>
        <v>0</v>
      </c>
      <c r="N344" s="120">
        <f t="shared" si="46"/>
        <v>0</v>
      </c>
      <c r="O344" s="120">
        <f t="shared" si="46"/>
        <v>0</v>
      </c>
      <c r="P344" s="120">
        <f t="shared" si="46"/>
        <v>0</v>
      </c>
      <c r="Q344" s="120">
        <f t="shared" si="46"/>
        <v>0</v>
      </c>
      <c r="R344" s="120">
        <f t="shared" si="46"/>
        <v>0</v>
      </c>
      <c r="S344" s="120">
        <f t="shared" si="46"/>
        <v>0</v>
      </c>
      <c r="T344" s="120">
        <f t="shared" si="46"/>
        <v>0</v>
      </c>
      <c r="U344" s="120">
        <f t="shared" si="46"/>
        <v>0</v>
      </c>
      <c r="V344" s="120">
        <f t="shared" si="46"/>
        <v>0</v>
      </c>
      <c r="W344" s="120">
        <f t="shared" si="46"/>
        <v>0</v>
      </c>
      <c r="X344" s="120">
        <f t="shared" si="46"/>
        <v>0</v>
      </c>
      <c r="Y344" s="120">
        <f t="shared" si="46"/>
        <v>0</v>
      </c>
      <c r="Z344" s="120">
        <f t="shared" si="46"/>
        <v>0</v>
      </c>
      <c r="AA344" s="74"/>
      <c r="AB344" s="74"/>
      <c r="AC344" s="75" t="str">
        <f t="shared" si="44"/>
        <v>OVER CAPACITY</v>
      </c>
      <c r="AD344" s="2"/>
    </row>
    <row r="345" spans="2:31" x14ac:dyDescent="0.35">
      <c r="B345" s="47" t="s">
        <v>401</v>
      </c>
      <c r="C345" s="48">
        <f t="shared" si="41"/>
        <v>1800</v>
      </c>
      <c r="D345" s="48"/>
      <c r="E345" s="63"/>
      <c r="F345" s="120">
        <f t="shared" ref="F345:Z345" si="47">SUM(F231:F234,F267:F270,F307:F310)</f>
        <v>0</v>
      </c>
      <c r="G345" s="120">
        <f t="shared" si="47"/>
        <v>123</v>
      </c>
      <c r="H345" s="120">
        <f t="shared" si="47"/>
        <v>166</v>
      </c>
      <c r="I345" s="120">
        <f t="shared" si="47"/>
        <v>0</v>
      </c>
      <c r="J345" s="120">
        <f t="shared" si="47"/>
        <v>123</v>
      </c>
      <c r="K345" s="120">
        <f t="shared" si="47"/>
        <v>246</v>
      </c>
      <c r="L345" s="120">
        <f t="shared" si="47"/>
        <v>0</v>
      </c>
      <c r="M345" s="120">
        <f t="shared" si="47"/>
        <v>123</v>
      </c>
      <c r="N345" s="120">
        <f t="shared" si="47"/>
        <v>246</v>
      </c>
      <c r="O345" s="120">
        <f t="shared" si="47"/>
        <v>0</v>
      </c>
      <c r="P345" s="120">
        <f t="shared" si="47"/>
        <v>0</v>
      </c>
      <c r="Q345" s="120">
        <f t="shared" si="47"/>
        <v>0</v>
      </c>
      <c r="R345" s="120">
        <f t="shared" si="47"/>
        <v>76</v>
      </c>
      <c r="S345" s="120">
        <f t="shared" si="47"/>
        <v>123</v>
      </c>
      <c r="T345" s="120">
        <f t="shared" si="47"/>
        <v>246</v>
      </c>
      <c r="U345" s="120">
        <f t="shared" si="47"/>
        <v>82</v>
      </c>
      <c r="V345" s="120">
        <f t="shared" si="47"/>
        <v>0</v>
      </c>
      <c r="W345" s="120">
        <f t="shared" si="47"/>
        <v>246</v>
      </c>
      <c r="X345" s="120">
        <f t="shared" si="47"/>
        <v>0</v>
      </c>
      <c r="Y345" s="120">
        <f t="shared" si="47"/>
        <v>0</v>
      </c>
      <c r="Z345" s="120">
        <f t="shared" si="47"/>
        <v>0</v>
      </c>
      <c r="AA345" s="74"/>
      <c r="AB345" s="74"/>
      <c r="AC345" s="75" t="str">
        <f t="shared" si="44"/>
        <v>OVER CAPACITY</v>
      </c>
      <c r="AD345" s="2"/>
    </row>
    <row r="346" spans="2:31" x14ac:dyDescent="0.35">
      <c r="B346" s="47" t="s">
        <v>402</v>
      </c>
      <c r="C346" s="48">
        <f t="shared" si="41"/>
        <v>774</v>
      </c>
      <c r="D346" s="48"/>
      <c r="E346" s="63"/>
      <c r="F346" s="120">
        <f t="shared" ref="F346:Z346" si="48">SUM(F221,F222,F223,F224,F225,F226,F227,F228,F257,F258,F259,F260,F261,F262,F263,F264,F297,F298,F299,F300,F301,F302,F303,F304)</f>
        <v>84</v>
      </c>
      <c r="G346" s="120">
        <f t="shared" si="48"/>
        <v>72</v>
      </c>
      <c r="H346" s="120">
        <f t="shared" si="48"/>
        <v>0</v>
      </c>
      <c r="I346" s="120">
        <f t="shared" si="48"/>
        <v>105</v>
      </c>
      <c r="J346" s="120">
        <f t="shared" si="48"/>
        <v>56</v>
      </c>
      <c r="K346" s="120">
        <f t="shared" si="48"/>
        <v>0</v>
      </c>
      <c r="L346" s="120">
        <f t="shared" si="48"/>
        <v>164</v>
      </c>
      <c r="M346" s="120">
        <f t="shared" si="48"/>
        <v>82</v>
      </c>
      <c r="N346" s="120">
        <f t="shared" si="48"/>
        <v>0</v>
      </c>
      <c r="O346" s="120">
        <f t="shared" si="48"/>
        <v>0</v>
      </c>
      <c r="P346" s="120">
        <f t="shared" si="48"/>
        <v>0</v>
      </c>
      <c r="Q346" s="120">
        <f t="shared" si="48"/>
        <v>0</v>
      </c>
      <c r="R346" s="120">
        <f t="shared" si="48"/>
        <v>88</v>
      </c>
      <c r="S346" s="120">
        <f t="shared" si="48"/>
        <v>41</v>
      </c>
      <c r="T346" s="120">
        <f t="shared" si="48"/>
        <v>0</v>
      </c>
      <c r="U346" s="120">
        <f t="shared" si="48"/>
        <v>82</v>
      </c>
      <c r="V346" s="120">
        <f t="shared" si="48"/>
        <v>0</v>
      </c>
      <c r="W346" s="120">
        <f t="shared" si="48"/>
        <v>0</v>
      </c>
      <c r="X346" s="120">
        <f t="shared" si="48"/>
        <v>0</v>
      </c>
      <c r="Y346" s="120">
        <f t="shared" si="48"/>
        <v>0</v>
      </c>
      <c r="Z346" s="120">
        <f t="shared" si="48"/>
        <v>0</v>
      </c>
      <c r="AA346" s="74"/>
      <c r="AB346" s="74"/>
      <c r="AC346" s="75" t="str">
        <f t="shared" si="44"/>
        <v>OVER CAPACITY</v>
      </c>
      <c r="AD346" s="2"/>
    </row>
    <row r="347" spans="2:31" x14ac:dyDescent="0.35">
      <c r="B347" s="47" t="s">
        <v>137</v>
      </c>
      <c r="C347" s="48">
        <f t="shared" si="41"/>
        <v>0</v>
      </c>
      <c r="D347" s="48"/>
      <c r="E347" s="63"/>
      <c r="F347" s="120">
        <f t="shared" ref="F347:Z347" si="49">F166</f>
        <v>0</v>
      </c>
      <c r="G347" s="120">
        <f t="shared" si="49"/>
        <v>0</v>
      </c>
      <c r="H347" s="120">
        <f t="shared" si="49"/>
        <v>0</v>
      </c>
      <c r="I347" s="120">
        <f t="shared" si="49"/>
        <v>0</v>
      </c>
      <c r="J347" s="120">
        <f t="shared" si="49"/>
        <v>0</v>
      </c>
      <c r="K347" s="120">
        <f t="shared" si="49"/>
        <v>0</v>
      </c>
      <c r="L347" s="120">
        <f t="shared" si="49"/>
        <v>0</v>
      </c>
      <c r="M347" s="120">
        <f t="shared" si="49"/>
        <v>0</v>
      </c>
      <c r="N347" s="120">
        <f t="shared" si="49"/>
        <v>0</v>
      </c>
      <c r="O347" s="120">
        <f t="shared" si="49"/>
        <v>0</v>
      </c>
      <c r="P347" s="120">
        <f t="shared" si="49"/>
        <v>0</v>
      </c>
      <c r="Q347" s="120">
        <f t="shared" si="49"/>
        <v>0</v>
      </c>
      <c r="R347" s="120">
        <f t="shared" si="49"/>
        <v>0</v>
      </c>
      <c r="S347" s="120">
        <f t="shared" si="49"/>
        <v>0</v>
      </c>
      <c r="T347" s="120">
        <f t="shared" si="49"/>
        <v>0</v>
      </c>
      <c r="U347" s="120">
        <f t="shared" si="49"/>
        <v>0</v>
      </c>
      <c r="V347" s="120">
        <f t="shared" si="49"/>
        <v>0</v>
      </c>
      <c r="W347" s="120">
        <f t="shared" si="49"/>
        <v>0</v>
      </c>
      <c r="X347" s="120">
        <f t="shared" si="49"/>
        <v>0</v>
      </c>
      <c r="Y347" s="120">
        <f t="shared" si="49"/>
        <v>0</v>
      </c>
      <c r="Z347" s="120">
        <f t="shared" si="49"/>
        <v>0</v>
      </c>
      <c r="AA347" s="74"/>
      <c r="AB347" s="74"/>
      <c r="AC347" s="75" t="str">
        <f t="shared" si="44"/>
        <v>WITHIN 5D</v>
      </c>
      <c r="AD347" s="2"/>
    </row>
    <row r="348" spans="2:31" x14ac:dyDescent="0.35">
      <c r="B348" s="47" t="s">
        <v>139</v>
      </c>
      <c r="C348" s="48">
        <f t="shared" si="41"/>
        <v>0</v>
      </c>
      <c r="D348" s="48"/>
      <c r="E348" s="63"/>
      <c r="F348" s="120">
        <f t="shared" ref="F348:Z348" si="50">F167</f>
        <v>0</v>
      </c>
      <c r="G348" s="120">
        <f t="shared" si="50"/>
        <v>0</v>
      </c>
      <c r="H348" s="120">
        <f t="shared" si="50"/>
        <v>0</v>
      </c>
      <c r="I348" s="120">
        <f t="shared" si="50"/>
        <v>0</v>
      </c>
      <c r="J348" s="120">
        <f t="shared" si="50"/>
        <v>0</v>
      </c>
      <c r="K348" s="120">
        <f t="shared" si="50"/>
        <v>0</v>
      </c>
      <c r="L348" s="120">
        <f t="shared" si="50"/>
        <v>0</v>
      </c>
      <c r="M348" s="120">
        <f t="shared" si="50"/>
        <v>0</v>
      </c>
      <c r="N348" s="120">
        <f t="shared" si="50"/>
        <v>0</v>
      </c>
      <c r="O348" s="120">
        <f t="shared" si="50"/>
        <v>0</v>
      </c>
      <c r="P348" s="120">
        <f t="shared" si="50"/>
        <v>0</v>
      </c>
      <c r="Q348" s="120">
        <f t="shared" si="50"/>
        <v>0</v>
      </c>
      <c r="R348" s="120">
        <f t="shared" si="50"/>
        <v>0</v>
      </c>
      <c r="S348" s="120">
        <f t="shared" si="50"/>
        <v>0</v>
      </c>
      <c r="T348" s="120">
        <f t="shared" si="50"/>
        <v>0</v>
      </c>
      <c r="U348" s="120">
        <f t="shared" si="50"/>
        <v>0</v>
      </c>
      <c r="V348" s="120">
        <f t="shared" si="50"/>
        <v>0</v>
      </c>
      <c r="W348" s="120">
        <f t="shared" si="50"/>
        <v>0</v>
      </c>
      <c r="X348" s="120">
        <f t="shared" si="50"/>
        <v>0</v>
      </c>
      <c r="Y348" s="120">
        <f t="shared" si="50"/>
        <v>0</v>
      </c>
      <c r="Z348" s="120">
        <f t="shared" si="50"/>
        <v>0</v>
      </c>
      <c r="AA348" s="74"/>
      <c r="AB348" s="74"/>
      <c r="AC348" s="75" t="str">
        <f t="shared" si="44"/>
        <v>WITHIN 5D</v>
      </c>
      <c r="AD348" s="2"/>
    </row>
    <row r="349" spans="2:31" x14ac:dyDescent="0.35">
      <c r="B349" s="47" t="s">
        <v>306</v>
      </c>
      <c r="C349" s="48">
        <f t="shared" si="41"/>
        <v>0</v>
      </c>
      <c r="D349" s="48"/>
      <c r="E349" s="63"/>
      <c r="F349" s="120">
        <f t="shared" ref="F349:Z349" si="51">F160</f>
        <v>0</v>
      </c>
      <c r="G349" s="120">
        <f t="shared" si="51"/>
        <v>0</v>
      </c>
      <c r="H349" s="120">
        <f t="shared" si="51"/>
        <v>0</v>
      </c>
      <c r="I349" s="120">
        <f t="shared" si="51"/>
        <v>0</v>
      </c>
      <c r="J349" s="120">
        <f t="shared" si="51"/>
        <v>0</v>
      </c>
      <c r="K349" s="120">
        <f t="shared" si="51"/>
        <v>0</v>
      </c>
      <c r="L349" s="120">
        <f t="shared" si="51"/>
        <v>0</v>
      </c>
      <c r="M349" s="120">
        <f t="shared" si="51"/>
        <v>0</v>
      </c>
      <c r="N349" s="120">
        <f t="shared" si="51"/>
        <v>0</v>
      </c>
      <c r="O349" s="120">
        <f t="shared" si="51"/>
        <v>0</v>
      </c>
      <c r="P349" s="120">
        <f t="shared" si="51"/>
        <v>0</v>
      </c>
      <c r="Q349" s="120">
        <f t="shared" si="51"/>
        <v>0</v>
      </c>
      <c r="R349" s="120">
        <f t="shared" si="51"/>
        <v>0</v>
      </c>
      <c r="S349" s="120">
        <f t="shared" si="51"/>
        <v>0</v>
      </c>
      <c r="T349" s="120">
        <f t="shared" si="51"/>
        <v>0</v>
      </c>
      <c r="U349" s="120">
        <f t="shared" si="51"/>
        <v>0</v>
      </c>
      <c r="V349" s="120">
        <f t="shared" si="51"/>
        <v>0</v>
      </c>
      <c r="W349" s="120">
        <f t="shared" si="51"/>
        <v>0</v>
      </c>
      <c r="X349" s="120">
        <f t="shared" si="51"/>
        <v>0</v>
      </c>
      <c r="Y349" s="120">
        <f t="shared" si="51"/>
        <v>0</v>
      </c>
      <c r="Z349" s="120">
        <f t="shared" si="51"/>
        <v>0</v>
      </c>
      <c r="AA349" s="74"/>
      <c r="AB349" s="74"/>
      <c r="AC349" s="75" t="str">
        <f t="shared" si="44"/>
        <v>WITHIN 5D</v>
      </c>
      <c r="AD349" s="2"/>
    </row>
    <row r="350" spans="2:31" x14ac:dyDescent="0.35">
      <c r="B350" s="47" t="s">
        <v>307</v>
      </c>
      <c r="C350" s="48">
        <f t="shared" si="41"/>
        <v>0</v>
      </c>
      <c r="D350" s="48"/>
      <c r="E350" s="63"/>
      <c r="F350" s="120">
        <f t="shared" ref="F350:Z350" si="52">SUM(F161,F162,F163)</f>
        <v>0</v>
      </c>
      <c r="G350" s="120">
        <f t="shared" si="52"/>
        <v>0</v>
      </c>
      <c r="H350" s="120">
        <f t="shared" si="52"/>
        <v>0</v>
      </c>
      <c r="I350" s="120">
        <f t="shared" si="52"/>
        <v>0</v>
      </c>
      <c r="J350" s="120">
        <f t="shared" si="52"/>
        <v>0</v>
      </c>
      <c r="K350" s="120">
        <f t="shared" si="52"/>
        <v>0</v>
      </c>
      <c r="L350" s="120">
        <f t="shared" si="52"/>
        <v>0</v>
      </c>
      <c r="M350" s="120">
        <f t="shared" si="52"/>
        <v>0</v>
      </c>
      <c r="N350" s="120">
        <f t="shared" si="52"/>
        <v>0</v>
      </c>
      <c r="O350" s="120">
        <f t="shared" si="52"/>
        <v>0</v>
      </c>
      <c r="P350" s="120">
        <f t="shared" si="52"/>
        <v>0</v>
      </c>
      <c r="Q350" s="120">
        <f t="shared" si="52"/>
        <v>0</v>
      </c>
      <c r="R350" s="120">
        <f t="shared" si="52"/>
        <v>0</v>
      </c>
      <c r="S350" s="120">
        <f t="shared" si="52"/>
        <v>0</v>
      </c>
      <c r="T350" s="120">
        <f t="shared" si="52"/>
        <v>0</v>
      </c>
      <c r="U350" s="120">
        <f t="shared" si="52"/>
        <v>0</v>
      </c>
      <c r="V350" s="120">
        <f t="shared" si="52"/>
        <v>0</v>
      </c>
      <c r="W350" s="120">
        <f t="shared" si="52"/>
        <v>0</v>
      </c>
      <c r="X350" s="120">
        <f t="shared" si="52"/>
        <v>0</v>
      </c>
      <c r="Y350" s="120">
        <f t="shared" si="52"/>
        <v>0</v>
      </c>
      <c r="Z350" s="120">
        <f t="shared" si="52"/>
        <v>0</v>
      </c>
      <c r="AA350" s="74"/>
      <c r="AB350" s="74"/>
      <c r="AC350" s="75" t="str">
        <f t="shared" si="44"/>
        <v>WITHIN 5D</v>
      </c>
      <c r="AD350" s="2"/>
      <c r="AE350" s="30"/>
    </row>
    <row r="351" spans="2:31" x14ac:dyDescent="0.35">
      <c r="B351" s="47" t="s">
        <v>88</v>
      </c>
      <c r="C351" s="48">
        <f t="shared" si="41"/>
        <v>0</v>
      </c>
      <c r="D351" s="48"/>
      <c r="E351" s="63"/>
      <c r="F351" s="120">
        <f t="shared" ref="F351:Z351" si="53">F71</f>
        <v>0</v>
      </c>
      <c r="G351" s="120">
        <f t="shared" si="53"/>
        <v>0</v>
      </c>
      <c r="H351" s="120">
        <f t="shared" si="53"/>
        <v>0</v>
      </c>
      <c r="I351" s="120">
        <f t="shared" si="53"/>
        <v>0</v>
      </c>
      <c r="J351" s="120">
        <f t="shared" si="53"/>
        <v>0</v>
      </c>
      <c r="K351" s="120">
        <f t="shared" si="53"/>
        <v>0</v>
      </c>
      <c r="L351" s="120">
        <f t="shared" si="53"/>
        <v>0</v>
      </c>
      <c r="M351" s="120">
        <f t="shared" si="53"/>
        <v>0</v>
      </c>
      <c r="N351" s="120">
        <f t="shared" si="53"/>
        <v>0</v>
      </c>
      <c r="O351" s="120">
        <f t="shared" si="53"/>
        <v>0</v>
      </c>
      <c r="P351" s="120">
        <f t="shared" si="53"/>
        <v>0</v>
      </c>
      <c r="Q351" s="120">
        <f t="shared" si="53"/>
        <v>0</v>
      </c>
      <c r="R351" s="120">
        <f t="shared" si="53"/>
        <v>0</v>
      </c>
      <c r="S351" s="120">
        <f t="shared" si="53"/>
        <v>0</v>
      </c>
      <c r="T351" s="120">
        <f t="shared" si="53"/>
        <v>0</v>
      </c>
      <c r="U351" s="120">
        <f t="shared" si="53"/>
        <v>0</v>
      </c>
      <c r="V351" s="120">
        <f t="shared" si="53"/>
        <v>0</v>
      </c>
      <c r="W351" s="120">
        <f t="shared" si="53"/>
        <v>0</v>
      </c>
      <c r="X351" s="120">
        <f t="shared" si="53"/>
        <v>0</v>
      </c>
      <c r="Y351" s="120">
        <f t="shared" si="53"/>
        <v>0</v>
      </c>
      <c r="Z351" s="120">
        <f t="shared" si="53"/>
        <v>0</v>
      </c>
      <c r="AA351" s="74"/>
      <c r="AB351" s="74"/>
      <c r="AC351" s="75" t="str">
        <f t="shared" si="44"/>
        <v>WITHIN 5D</v>
      </c>
      <c r="AD351" s="2"/>
      <c r="AE351" s="30"/>
    </row>
    <row r="352" spans="2:31" x14ac:dyDescent="0.35">
      <c r="B352" s="47" t="s">
        <v>212</v>
      </c>
      <c r="C352" s="48">
        <f t="shared" si="41"/>
        <v>810</v>
      </c>
      <c r="D352" s="48"/>
      <c r="E352" s="63"/>
      <c r="F352" s="120">
        <f t="shared" ref="F352:Z352" si="54">SUM(F4,F8,F9,F10,F15,F16,F192,F193,F320)</f>
        <v>135</v>
      </c>
      <c r="G352" s="120">
        <f t="shared" si="54"/>
        <v>0</v>
      </c>
      <c r="H352" s="120">
        <f t="shared" si="54"/>
        <v>135</v>
      </c>
      <c r="I352" s="120">
        <f t="shared" si="54"/>
        <v>135</v>
      </c>
      <c r="J352" s="120">
        <f t="shared" si="54"/>
        <v>0</v>
      </c>
      <c r="K352" s="120">
        <f t="shared" si="54"/>
        <v>135</v>
      </c>
      <c r="L352" s="120">
        <f t="shared" si="54"/>
        <v>135</v>
      </c>
      <c r="M352" s="120">
        <f t="shared" si="54"/>
        <v>0</v>
      </c>
      <c r="N352" s="120">
        <f t="shared" si="54"/>
        <v>135</v>
      </c>
      <c r="O352" s="120">
        <f t="shared" si="54"/>
        <v>0</v>
      </c>
      <c r="P352" s="120">
        <f t="shared" si="54"/>
        <v>0</v>
      </c>
      <c r="Q352" s="120">
        <f t="shared" si="54"/>
        <v>0</v>
      </c>
      <c r="R352" s="120">
        <f t="shared" si="54"/>
        <v>0</v>
      </c>
      <c r="S352" s="120">
        <f t="shared" si="54"/>
        <v>0</v>
      </c>
      <c r="T352" s="120">
        <f t="shared" si="54"/>
        <v>0</v>
      </c>
      <c r="U352" s="120">
        <f t="shared" si="54"/>
        <v>0</v>
      </c>
      <c r="V352" s="120">
        <f t="shared" si="54"/>
        <v>0</v>
      </c>
      <c r="W352" s="120">
        <f t="shared" si="54"/>
        <v>0</v>
      </c>
      <c r="X352" s="120">
        <f t="shared" si="54"/>
        <v>0</v>
      </c>
      <c r="Y352" s="120">
        <f t="shared" si="54"/>
        <v>0</v>
      </c>
      <c r="Z352" s="120">
        <f t="shared" si="54"/>
        <v>0</v>
      </c>
      <c r="AA352" s="74">
        <v>3260</v>
      </c>
      <c r="AB352" s="74">
        <v>3912</v>
      </c>
      <c r="AC352" s="75" t="str">
        <f t="shared" si="44"/>
        <v>WITHIN 5D</v>
      </c>
      <c r="AD352" s="2"/>
      <c r="AE352" s="30"/>
    </row>
    <row r="353" spans="2:31" x14ac:dyDescent="0.35">
      <c r="B353" s="47" t="s">
        <v>213</v>
      </c>
      <c r="C353" s="48">
        <f t="shared" si="41"/>
        <v>0</v>
      </c>
      <c r="D353" s="48"/>
      <c r="E353" s="63"/>
      <c r="F353" s="120">
        <f t="shared" ref="F353:Z353" si="55">SUM(F5:F7)</f>
        <v>0</v>
      </c>
      <c r="G353" s="120">
        <f t="shared" si="55"/>
        <v>0</v>
      </c>
      <c r="H353" s="120">
        <f t="shared" si="55"/>
        <v>0</v>
      </c>
      <c r="I353" s="120">
        <f t="shared" si="55"/>
        <v>0</v>
      </c>
      <c r="J353" s="120">
        <f t="shared" si="55"/>
        <v>0</v>
      </c>
      <c r="K353" s="120">
        <f t="shared" si="55"/>
        <v>0</v>
      </c>
      <c r="L353" s="120">
        <f t="shared" si="55"/>
        <v>0</v>
      </c>
      <c r="M353" s="120">
        <f t="shared" si="55"/>
        <v>0</v>
      </c>
      <c r="N353" s="120">
        <f t="shared" si="55"/>
        <v>0</v>
      </c>
      <c r="O353" s="120">
        <f t="shared" si="55"/>
        <v>0</v>
      </c>
      <c r="P353" s="120">
        <f t="shared" si="55"/>
        <v>0</v>
      </c>
      <c r="Q353" s="120">
        <f t="shared" si="55"/>
        <v>0</v>
      </c>
      <c r="R353" s="120">
        <f t="shared" si="55"/>
        <v>0</v>
      </c>
      <c r="S353" s="120">
        <f t="shared" si="55"/>
        <v>0</v>
      </c>
      <c r="T353" s="120">
        <f t="shared" si="55"/>
        <v>0</v>
      </c>
      <c r="U353" s="120">
        <f t="shared" si="55"/>
        <v>0</v>
      </c>
      <c r="V353" s="120">
        <f t="shared" si="55"/>
        <v>0</v>
      </c>
      <c r="W353" s="120">
        <f t="shared" si="55"/>
        <v>0</v>
      </c>
      <c r="X353" s="120">
        <f t="shared" si="55"/>
        <v>0</v>
      </c>
      <c r="Y353" s="120">
        <f t="shared" si="55"/>
        <v>0</v>
      </c>
      <c r="Z353" s="120">
        <f t="shared" si="55"/>
        <v>0</v>
      </c>
      <c r="AA353" s="74">
        <v>1630</v>
      </c>
      <c r="AB353" s="74">
        <v>1956</v>
      </c>
      <c r="AC353" s="75" t="str">
        <f t="shared" si="44"/>
        <v>WITHIN 5D</v>
      </c>
      <c r="AD353" s="2"/>
      <c r="AE353" s="30"/>
    </row>
    <row r="354" spans="2:31" x14ac:dyDescent="0.35">
      <c r="B354" s="47" t="s">
        <v>104</v>
      </c>
      <c r="C354" s="48">
        <f t="shared" si="41"/>
        <v>0</v>
      </c>
      <c r="D354" s="48"/>
      <c r="E354" s="63"/>
      <c r="F354" s="120">
        <f t="shared" ref="F354:Z354" si="56">SUM(F95,F195,F196)</f>
        <v>0</v>
      </c>
      <c r="G354" s="120">
        <f t="shared" si="56"/>
        <v>0</v>
      </c>
      <c r="H354" s="120">
        <f t="shared" si="56"/>
        <v>0</v>
      </c>
      <c r="I354" s="120">
        <f t="shared" si="56"/>
        <v>0</v>
      </c>
      <c r="J354" s="120">
        <f t="shared" si="56"/>
        <v>0</v>
      </c>
      <c r="K354" s="120">
        <f t="shared" si="56"/>
        <v>0</v>
      </c>
      <c r="L354" s="120">
        <f t="shared" si="56"/>
        <v>0</v>
      </c>
      <c r="M354" s="120">
        <f t="shared" si="56"/>
        <v>0</v>
      </c>
      <c r="N354" s="120">
        <f t="shared" si="56"/>
        <v>0</v>
      </c>
      <c r="O354" s="120">
        <f t="shared" si="56"/>
        <v>0</v>
      </c>
      <c r="P354" s="120">
        <f t="shared" si="56"/>
        <v>0</v>
      </c>
      <c r="Q354" s="120">
        <f t="shared" si="56"/>
        <v>0</v>
      </c>
      <c r="R354" s="120">
        <f t="shared" si="56"/>
        <v>0</v>
      </c>
      <c r="S354" s="120">
        <f t="shared" si="56"/>
        <v>0</v>
      </c>
      <c r="T354" s="120">
        <f t="shared" si="56"/>
        <v>0</v>
      </c>
      <c r="U354" s="120">
        <f t="shared" si="56"/>
        <v>0</v>
      </c>
      <c r="V354" s="120">
        <f t="shared" si="56"/>
        <v>0</v>
      </c>
      <c r="W354" s="120">
        <f t="shared" si="56"/>
        <v>0</v>
      </c>
      <c r="X354" s="120">
        <f t="shared" si="56"/>
        <v>0</v>
      </c>
      <c r="Y354" s="120">
        <f t="shared" si="56"/>
        <v>0</v>
      </c>
      <c r="Z354" s="120">
        <f t="shared" si="56"/>
        <v>0</v>
      </c>
      <c r="AA354" s="74">
        <v>1630</v>
      </c>
      <c r="AB354" s="74">
        <v>1956</v>
      </c>
      <c r="AC354" s="75" t="str">
        <f t="shared" si="44"/>
        <v>WITHIN 5D</v>
      </c>
      <c r="AD354" s="2"/>
      <c r="AE354" s="30"/>
    </row>
    <row r="355" spans="2:31" x14ac:dyDescent="0.35">
      <c r="B355" s="47" t="s">
        <v>93</v>
      </c>
      <c r="C355" s="48">
        <f t="shared" si="41"/>
        <v>960</v>
      </c>
      <c r="D355" s="48"/>
      <c r="E355" s="63"/>
      <c r="F355" s="120">
        <f t="shared" ref="F355:Z355" si="57">SUM(F76,F77,F78,F79,F80,F81)</f>
        <v>143</v>
      </c>
      <c r="G355" s="120">
        <f t="shared" si="57"/>
        <v>73</v>
      </c>
      <c r="H355" s="120">
        <f t="shared" si="57"/>
        <v>0</v>
      </c>
      <c r="I355" s="120">
        <f t="shared" si="57"/>
        <v>143</v>
      </c>
      <c r="J355" s="120">
        <f t="shared" si="57"/>
        <v>73</v>
      </c>
      <c r="K355" s="120">
        <f t="shared" si="57"/>
        <v>0</v>
      </c>
      <c r="L355" s="120">
        <f t="shared" si="57"/>
        <v>143</v>
      </c>
      <c r="M355" s="120">
        <f t="shared" si="57"/>
        <v>73</v>
      </c>
      <c r="N355" s="120">
        <f t="shared" si="57"/>
        <v>0</v>
      </c>
      <c r="O355" s="120">
        <f t="shared" si="57"/>
        <v>0</v>
      </c>
      <c r="P355" s="120">
        <f t="shared" si="57"/>
        <v>0</v>
      </c>
      <c r="Q355" s="120">
        <f t="shared" si="57"/>
        <v>0</v>
      </c>
      <c r="R355" s="120">
        <f t="shared" si="57"/>
        <v>120</v>
      </c>
      <c r="S355" s="120">
        <f t="shared" si="57"/>
        <v>36</v>
      </c>
      <c r="T355" s="120">
        <f t="shared" si="57"/>
        <v>0</v>
      </c>
      <c r="U355" s="120">
        <f t="shared" si="57"/>
        <v>120</v>
      </c>
      <c r="V355" s="120">
        <f t="shared" si="57"/>
        <v>36</v>
      </c>
      <c r="W355" s="120">
        <f t="shared" si="57"/>
        <v>0</v>
      </c>
      <c r="X355" s="120">
        <f t="shared" si="57"/>
        <v>0</v>
      </c>
      <c r="Y355" s="120">
        <f t="shared" si="57"/>
        <v>0</v>
      </c>
      <c r="Z355" s="120">
        <f t="shared" si="57"/>
        <v>0</v>
      </c>
      <c r="AA355" s="74">
        <v>3260</v>
      </c>
      <c r="AB355" s="74">
        <v>3912</v>
      </c>
      <c r="AC355" s="75" t="str">
        <f t="shared" si="44"/>
        <v>WITHIN 5D</v>
      </c>
      <c r="AD355" s="2"/>
      <c r="AE355" s="30"/>
    </row>
    <row r="356" spans="2:31" x14ac:dyDescent="0.35">
      <c r="B356" s="47" t="s">
        <v>119</v>
      </c>
      <c r="C356" s="48">
        <f t="shared" si="41"/>
        <v>0</v>
      </c>
      <c r="D356" s="48"/>
      <c r="E356" s="63"/>
      <c r="F356" s="120">
        <f t="shared" ref="F356:Z356" si="58">SUM(F136,F153)</f>
        <v>0</v>
      </c>
      <c r="G356" s="120">
        <f t="shared" si="58"/>
        <v>0</v>
      </c>
      <c r="H356" s="120">
        <f t="shared" si="58"/>
        <v>0</v>
      </c>
      <c r="I356" s="120">
        <f t="shared" si="58"/>
        <v>0</v>
      </c>
      <c r="J356" s="120">
        <f t="shared" si="58"/>
        <v>0</v>
      </c>
      <c r="K356" s="120">
        <f t="shared" si="58"/>
        <v>0</v>
      </c>
      <c r="L356" s="120">
        <f t="shared" si="58"/>
        <v>0</v>
      </c>
      <c r="M356" s="120">
        <f t="shared" si="58"/>
        <v>0</v>
      </c>
      <c r="N356" s="120">
        <f t="shared" si="58"/>
        <v>0</v>
      </c>
      <c r="O356" s="120">
        <f t="shared" si="58"/>
        <v>0</v>
      </c>
      <c r="P356" s="120">
        <f t="shared" si="58"/>
        <v>0</v>
      </c>
      <c r="Q356" s="120">
        <f t="shared" si="58"/>
        <v>0</v>
      </c>
      <c r="R356" s="120">
        <f t="shared" si="58"/>
        <v>0</v>
      </c>
      <c r="S356" s="120">
        <f t="shared" si="58"/>
        <v>0</v>
      </c>
      <c r="T356" s="120">
        <f t="shared" si="58"/>
        <v>0</v>
      </c>
      <c r="U356" s="120">
        <f t="shared" si="58"/>
        <v>0</v>
      </c>
      <c r="V356" s="120">
        <f t="shared" si="58"/>
        <v>0</v>
      </c>
      <c r="W356" s="120">
        <f t="shared" si="58"/>
        <v>0</v>
      </c>
      <c r="X356" s="120">
        <f t="shared" si="58"/>
        <v>0</v>
      </c>
      <c r="Y356" s="120">
        <f t="shared" si="58"/>
        <v>0</v>
      </c>
      <c r="Z356" s="120">
        <f t="shared" si="58"/>
        <v>0</v>
      </c>
      <c r="AA356" s="74"/>
      <c r="AB356" s="74"/>
      <c r="AC356" s="75" t="str">
        <f t="shared" si="44"/>
        <v>WITHIN 5D</v>
      </c>
      <c r="AD356" s="2"/>
      <c r="AE356" s="30"/>
    </row>
    <row r="357" spans="2:31" x14ac:dyDescent="0.35">
      <c r="B357" s="47" t="s">
        <v>65</v>
      </c>
      <c r="C357" s="48">
        <f t="shared" si="41"/>
        <v>0</v>
      </c>
      <c r="D357" s="48"/>
      <c r="E357" s="63"/>
      <c r="F357" s="120">
        <f t="shared" ref="F357:Z357" si="59">SUM(F84,F85,F86,F87,F89,F91,F97,F98,F99,F100,F325)</f>
        <v>0</v>
      </c>
      <c r="G357" s="120">
        <f t="shared" si="59"/>
        <v>0</v>
      </c>
      <c r="H357" s="120">
        <f t="shared" si="59"/>
        <v>0</v>
      </c>
      <c r="I357" s="120">
        <f t="shared" si="59"/>
        <v>0</v>
      </c>
      <c r="J357" s="120">
        <f t="shared" si="59"/>
        <v>0</v>
      </c>
      <c r="K357" s="120">
        <f t="shared" si="59"/>
        <v>0</v>
      </c>
      <c r="L357" s="120">
        <f t="shared" si="59"/>
        <v>0</v>
      </c>
      <c r="M357" s="120">
        <f t="shared" si="59"/>
        <v>0</v>
      </c>
      <c r="N357" s="120">
        <f t="shared" si="59"/>
        <v>0</v>
      </c>
      <c r="O357" s="120">
        <f t="shared" si="59"/>
        <v>0</v>
      </c>
      <c r="P357" s="120">
        <f t="shared" si="59"/>
        <v>0</v>
      </c>
      <c r="Q357" s="120">
        <f t="shared" si="59"/>
        <v>0</v>
      </c>
      <c r="R357" s="120">
        <f t="shared" si="59"/>
        <v>0</v>
      </c>
      <c r="S357" s="120">
        <f t="shared" si="59"/>
        <v>0</v>
      </c>
      <c r="T357" s="120">
        <f t="shared" si="59"/>
        <v>0</v>
      </c>
      <c r="U357" s="120">
        <f t="shared" si="59"/>
        <v>0</v>
      </c>
      <c r="V357" s="120">
        <f t="shared" si="59"/>
        <v>0</v>
      </c>
      <c r="W357" s="120">
        <f t="shared" si="59"/>
        <v>0</v>
      </c>
      <c r="X357" s="120">
        <f t="shared" si="59"/>
        <v>0</v>
      </c>
      <c r="Y357" s="120">
        <f t="shared" si="59"/>
        <v>0</v>
      </c>
      <c r="Z357" s="120">
        <f t="shared" si="59"/>
        <v>0</v>
      </c>
      <c r="AA357" s="74">
        <v>8151</v>
      </c>
      <c r="AB357" s="74">
        <v>9781</v>
      </c>
      <c r="AC357" s="75" t="str">
        <f t="shared" si="44"/>
        <v>WITHIN 5D</v>
      </c>
      <c r="AD357" s="2"/>
      <c r="AE357" s="30"/>
    </row>
    <row r="358" spans="2:31" x14ac:dyDescent="0.35">
      <c r="B358" s="47" t="s">
        <v>61</v>
      </c>
      <c r="C358" s="48">
        <f t="shared" si="41"/>
        <v>0</v>
      </c>
      <c r="D358" s="48"/>
      <c r="E358" s="63"/>
      <c r="F358" s="120">
        <f>SUM(F314,F315)</f>
        <v>0</v>
      </c>
      <c r="G358" s="120">
        <f t="shared" ref="G358:Z358" si="60">SUM(G314,G315)</f>
        <v>0</v>
      </c>
      <c r="H358" s="120">
        <f t="shared" si="60"/>
        <v>0</v>
      </c>
      <c r="I358" s="120">
        <f t="shared" si="60"/>
        <v>0</v>
      </c>
      <c r="J358" s="120">
        <f t="shared" si="60"/>
        <v>0</v>
      </c>
      <c r="K358" s="120">
        <f t="shared" si="60"/>
        <v>0</v>
      </c>
      <c r="L358" s="120">
        <f t="shared" si="60"/>
        <v>0</v>
      </c>
      <c r="M358" s="120">
        <f t="shared" si="60"/>
        <v>0</v>
      </c>
      <c r="N358" s="120">
        <f t="shared" si="60"/>
        <v>0</v>
      </c>
      <c r="O358" s="120">
        <f t="shared" si="60"/>
        <v>0</v>
      </c>
      <c r="P358" s="120">
        <f t="shared" si="60"/>
        <v>0</v>
      </c>
      <c r="Q358" s="120">
        <f t="shared" si="60"/>
        <v>0</v>
      </c>
      <c r="R358" s="120">
        <f t="shared" si="60"/>
        <v>0</v>
      </c>
      <c r="S358" s="120">
        <f t="shared" si="60"/>
        <v>0</v>
      </c>
      <c r="T358" s="120">
        <f t="shared" si="60"/>
        <v>0</v>
      </c>
      <c r="U358" s="120">
        <f t="shared" si="60"/>
        <v>0</v>
      </c>
      <c r="V358" s="120">
        <f t="shared" si="60"/>
        <v>0</v>
      </c>
      <c r="W358" s="120">
        <f t="shared" si="60"/>
        <v>0</v>
      </c>
      <c r="X358" s="120">
        <f t="shared" si="60"/>
        <v>0</v>
      </c>
      <c r="Y358" s="120">
        <f t="shared" si="60"/>
        <v>0</v>
      </c>
      <c r="Z358" s="120">
        <f t="shared" si="60"/>
        <v>0</v>
      </c>
      <c r="AA358" s="74">
        <v>1630</v>
      </c>
      <c r="AB358" s="74">
        <v>1956</v>
      </c>
      <c r="AC358" s="75" t="str">
        <f t="shared" si="44"/>
        <v>WITHIN 5D</v>
      </c>
      <c r="AD358" s="2"/>
      <c r="AE358" s="30"/>
    </row>
    <row r="359" spans="2:31" x14ac:dyDescent="0.35">
      <c r="B359" s="47" t="s">
        <v>291</v>
      </c>
      <c r="C359" s="48">
        <f t="shared" si="41"/>
        <v>236</v>
      </c>
      <c r="D359" s="48"/>
      <c r="E359" s="63"/>
      <c r="F359" s="120">
        <f t="shared" ref="F359:Z359" si="61">SUM(F142,F143,F144)</f>
        <v>40</v>
      </c>
      <c r="G359" s="120">
        <f t="shared" si="61"/>
        <v>0</v>
      </c>
      <c r="H359" s="120">
        <f t="shared" si="61"/>
        <v>0</v>
      </c>
      <c r="I359" s="120">
        <f t="shared" si="61"/>
        <v>98</v>
      </c>
      <c r="J359" s="120">
        <f t="shared" si="61"/>
        <v>0</v>
      </c>
      <c r="K359" s="120">
        <f t="shared" si="61"/>
        <v>0</v>
      </c>
      <c r="L359" s="120">
        <f t="shared" si="61"/>
        <v>98</v>
      </c>
      <c r="M359" s="120">
        <f t="shared" si="61"/>
        <v>0</v>
      </c>
      <c r="N359" s="120">
        <f t="shared" si="61"/>
        <v>0</v>
      </c>
      <c r="O359" s="120">
        <f t="shared" si="61"/>
        <v>0</v>
      </c>
      <c r="P359" s="120">
        <f t="shared" si="61"/>
        <v>0</v>
      </c>
      <c r="Q359" s="120">
        <f t="shared" si="61"/>
        <v>0</v>
      </c>
      <c r="R359" s="120">
        <f t="shared" si="61"/>
        <v>0</v>
      </c>
      <c r="S359" s="120">
        <f t="shared" si="61"/>
        <v>0</v>
      </c>
      <c r="T359" s="120">
        <f t="shared" si="61"/>
        <v>0</v>
      </c>
      <c r="U359" s="120">
        <f t="shared" si="61"/>
        <v>0</v>
      </c>
      <c r="V359" s="120">
        <f t="shared" si="61"/>
        <v>0</v>
      </c>
      <c r="W359" s="120">
        <f t="shared" si="61"/>
        <v>0</v>
      </c>
      <c r="X359" s="120">
        <f t="shared" si="61"/>
        <v>0</v>
      </c>
      <c r="Y359" s="120">
        <f t="shared" si="61"/>
        <v>0</v>
      </c>
      <c r="Z359" s="120">
        <f t="shared" si="61"/>
        <v>0</v>
      </c>
      <c r="AA359" s="74">
        <v>1630</v>
      </c>
      <c r="AB359" s="74">
        <v>1956</v>
      </c>
      <c r="AC359" s="75" t="str">
        <f t="shared" si="44"/>
        <v>WITHIN 5D</v>
      </c>
      <c r="AD359" s="2"/>
      <c r="AE359" s="30"/>
    </row>
    <row r="360" spans="2:31" x14ac:dyDescent="0.35">
      <c r="B360" s="47" t="s">
        <v>29</v>
      </c>
      <c r="C360" s="48">
        <f t="shared" si="41"/>
        <v>0</v>
      </c>
      <c r="D360" s="48"/>
      <c r="E360" s="63"/>
      <c r="F360" s="120">
        <f t="shared" ref="F360:Z360" si="62">SUM(F46,F59,F60,F61,F62,F63,F64)</f>
        <v>0</v>
      </c>
      <c r="G360" s="120">
        <f t="shared" si="62"/>
        <v>0</v>
      </c>
      <c r="H360" s="120">
        <f t="shared" si="62"/>
        <v>0</v>
      </c>
      <c r="I360" s="120">
        <f t="shared" si="62"/>
        <v>0</v>
      </c>
      <c r="J360" s="120">
        <f t="shared" si="62"/>
        <v>0</v>
      </c>
      <c r="K360" s="120">
        <f t="shared" si="62"/>
        <v>0</v>
      </c>
      <c r="L360" s="120">
        <f t="shared" si="62"/>
        <v>0</v>
      </c>
      <c r="M360" s="120">
        <f t="shared" si="62"/>
        <v>0</v>
      </c>
      <c r="N360" s="120">
        <f t="shared" si="62"/>
        <v>0</v>
      </c>
      <c r="O360" s="120">
        <f t="shared" si="62"/>
        <v>0</v>
      </c>
      <c r="P360" s="120">
        <f t="shared" si="62"/>
        <v>0</v>
      </c>
      <c r="Q360" s="120">
        <f t="shared" si="62"/>
        <v>0</v>
      </c>
      <c r="R360" s="120">
        <f t="shared" si="62"/>
        <v>0</v>
      </c>
      <c r="S360" s="120">
        <f t="shared" si="62"/>
        <v>0</v>
      </c>
      <c r="T360" s="120">
        <f t="shared" si="62"/>
        <v>0</v>
      </c>
      <c r="U360" s="120">
        <f t="shared" si="62"/>
        <v>0</v>
      </c>
      <c r="V360" s="120">
        <f t="shared" si="62"/>
        <v>0</v>
      </c>
      <c r="W360" s="120">
        <f t="shared" si="62"/>
        <v>0</v>
      </c>
      <c r="X360" s="120">
        <f t="shared" si="62"/>
        <v>0</v>
      </c>
      <c r="Y360" s="120">
        <f t="shared" si="62"/>
        <v>0</v>
      </c>
      <c r="Z360" s="120">
        <f t="shared" si="62"/>
        <v>0</v>
      </c>
      <c r="AA360" s="74">
        <v>1630</v>
      </c>
      <c r="AB360" s="74">
        <v>1956</v>
      </c>
      <c r="AC360" s="75" t="str">
        <f t="shared" si="44"/>
        <v>WITHIN 5D</v>
      </c>
      <c r="AD360" s="2"/>
      <c r="AE360" s="30"/>
    </row>
    <row r="361" spans="2:31" x14ac:dyDescent="0.35">
      <c r="B361" s="47" t="s">
        <v>27</v>
      </c>
      <c r="C361" s="48">
        <f t="shared" si="41"/>
        <v>0</v>
      </c>
      <c r="D361" s="48"/>
      <c r="E361" s="63"/>
      <c r="F361" s="120">
        <f t="shared" ref="F361:Z361" si="63">F56</f>
        <v>0</v>
      </c>
      <c r="G361" s="120">
        <f t="shared" si="63"/>
        <v>0</v>
      </c>
      <c r="H361" s="120">
        <f t="shared" si="63"/>
        <v>0</v>
      </c>
      <c r="I361" s="120">
        <f t="shared" si="63"/>
        <v>0</v>
      </c>
      <c r="J361" s="120">
        <f t="shared" si="63"/>
        <v>0</v>
      </c>
      <c r="K361" s="120">
        <f t="shared" si="63"/>
        <v>0</v>
      </c>
      <c r="L361" s="120">
        <f t="shared" si="63"/>
        <v>0</v>
      </c>
      <c r="M361" s="120">
        <f t="shared" si="63"/>
        <v>0</v>
      </c>
      <c r="N361" s="120">
        <f t="shared" si="63"/>
        <v>0</v>
      </c>
      <c r="O361" s="120">
        <f t="shared" si="63"/>
        <v>0</v>
      </c>
      <c r="P361" s="120">
        <f t="shared" si="63"/>
        <v>0</v>
      </c>
      <c r="Q361" s="120">
        <f t="shared" si="63"/>
        <v>0</v>
      </c>
      <c r="R361" s="120">
        <f t="shared" si="63"/>
        <v>0</v>
      </c>
      <c r="S361" s="120">
        <f t="shared" si="63"/>
        <v>0</v>
      </c>
      <c r="T361" s="120">
        <f t="shared" si="63"/>
        <v>0</v>
      </c>
      <c r="U361" s="120">
        <f t="shared" si="63"/>
        <v>0</v>
      </c>
      <c r="V361" s="120">
        <f t="shared" si="63"/>
        <v>0</v>
      </c>
      <c r="W361" s="120">
        <f t="shared" si="63"/>
        <v>0</v>
      </c>
      <c r="X361" s="120">
        <f t="shared" si="63"/>
        <v>0</v>
      </c>
      <c r="Y361" s="120">
        <f t="shared" si="63"/>
        <v>0</v>
      </c>
      <c r="Z361" s="120">
        <f t="shared" si="63"/>
        <v>0</v>
      </c>
      <c r="AA361" s="74"/>
      <c r="AB361" s="74"/>
      <c r="AC361" s="75" t="str">
        <f t="shared" si="44"/>
        <v>WITHIN 5D</v>
      </c>
      <c r="AD361" s="2"/>
      <c r="AE361" s="30"/>
    </row>
    <row r="362" spans="2:31" x14ac:dyDescent="0.35">
      <c r="B362" s="47" t="s">
        <v>214</v>
      </c>
      <c r="C362" s="48">
        <f t="shared" si="41"/>
        <v>0</v>
      </c>
      <c r="D362" s="48"/>
      <c r="E362" s="63"/>
      <c r="F362" s="120">
        <f t="shared" ref="F362:Z362" si="64">SUM(F47,F65,F107,F108,F109,F110,F111)</f>
        <v>0</v>
      </c>
      <c r="G362" s="120">
        <f t="shared" si="64"/>
        <v>0</v>
      </c>
      <c r="H362" s="120">
        <f t="shared" si="64"/>
        <v>0</v>
      </c>
      <c r="I362" s="120">
        <f t="shared" si="64"/>
        <v>0</v>
      </c>
      <c r="J362" s="120">
        <f t="shared" si="64"/>
        <v>0</v>
      </c>
      <c r="K362" s="120">
        <f t="shared" si="64"/>
        <v>0</v>
      </c>
      <c r="L362" s="120">
        <f t="shared" si="64"/>
        <v>0</v>
      </c>
      <c r="M362" s="120">
        <f t="shared" si="64"/>
        <v>0</v>
      </c>
      <c r="N362" s="120">
        <f t="shared" si="64"/>
        <v>0</v>
      </c>
      <c r="O362" s="120">
        <f t="shared" si="64"/>
        <v>0</v>
      </c>
      <c r="P362" s="120">
        <f t="shared" si="64"/>
        <v>0</v>
      </c>
      <c r="Q362" s="120">
        <f t="shared" si="64"/>
        <v>0</v>
      </c>
      <c r="R362" s="120">
        <f t="shared" si="64"/>
        <v>0</v>
      </c>
      <c r="S362" s="120">
        <f t="shared" si="64"/>
        <v>0</v>
      </c>
      <c r="T362" s="120">
        <f t="shared" si="64"/>
        <v>0</v>
      </c>
      <c r="U362" s="120">
        <f t="shared" si="64"/>
        <v>0</v>
      </c>
      <c r="V362" s="120">
        <f t="shared" si="64"/>
        <v>0</v>
      </c>
      <c r="W362" s="120">
        <f t="shared" si="64"/>
        <v>0</v>
      </c>
      <c r="X362" s="120">
        <f t="shared" si="64"/>
        <v>0</v>
      </c>
      <c r="Y362" s="120">
        <f t="shared" si="64"/>
        <v>0</v>
      </c>
      <c r="Z362" s="120">
        <f t="shared" si="64"/>
        <v>0</v>
      </c>
      <c r="AA362" s="74">
        <v>3260</v>
      </c>
      <c r="AB362" s="74">
        <v>3912</v>
      </c>
      <c r="AC362" s="75" t="str">
        <f t="shared" si="44"/>
        <v>WITHIN 5D</v>
      </c>
      <c r="AD362" s="2"/>
      <c r="AE362" s="30"/>
    </row>
    <row r="363" spans="2:31" x14ac:dyDescent="0.35">
      <c r="B363" s="47" t="s">
        <v>75</v>
      </c>
      <c r="C363" s="48">
        <f t="shared" si="41"/>
        <v>0</v>
      </c>
      <c r="D363" s="48"/>
      <c r="E363" s="63"/>
      <c r="F363" s="120">
        <f t="shared" ref="F363:Z363" si="65">SUM(F94,F105,F151,F330)</f>
        <v>0</v>
      </c>
      <c r="G363" s="120">
        <f t="shared" si="65"/>
        <v>0</v>
      </c>
      <c r="H363" s="120">
        <f t="shared" si="65"/>
        <v>0</v>
      </c>
      <c r="I363" s="120">
        <f t="shared" si="65"/>
        <v>0</v>
      </c>
      <c r="J363" s="120">
        <f t="shared" si="65"/>
        <v>0</v>
      </c>
      <c r="K363" s="120">
        <f t="shared" si="65"/>
        <v>0</v>
      </c>
      <c r="L363" s="120">
        <f t="shared" si="65"/>
        <v>0</v>
      </c>
      <c r="M363" s="120">
        <f t="shared" si="65"/>
        <v>0</v>
      </c>
      <c r="N363" s="120">
        <f t="shared" si="65"/>
        <v>0</v>
      </c>
      <c r="O363" s="120">
        <f t="shared" si="65"/>
        <v>0</v>
      </c>
      <c r="P363" s="120">
        <f t="shared" si="65"/>
        <v>0</v>
      </c>
      <c r="Q363" s="120">
        <f t="shared" si="65"/>
        <v>0</v>
      </c>
      <c r="R363" s="120">
        <f t="shared" si="65"/>
        <v>0</v>
      </c>
      <c r="S363" s="120">
        <f t="shared" si="65"/>
        <v>0</v>
      </c>
      <c r="T363" s="120">
        <f t="shared" si="65"/>
        <v>0</v>
      </c>
      <c r="U363" s="120">
        <f t="shared" si="65"/>
        <v>0</v>
      </c>
      <c r="V363" s="120">
        <f t="shared" si="65"/>
        <v>0</v>
      </c>
      <c r="W363" s="120">
        <f t="shared" si="65"/>
        <v>0</v>
      </c>
      <c r="X363" s="120">
        <f t="shared" si="65"/>
        <v>0</v>
      </c>
      <c r="Y363" s="120">
        <f t="shared" si="65"/>
        <v>0</v>
      </c>
      <c r="Z363" s="120">
        <f t="shared" si="65"/>
        <v>0</v>
      </c>
      <c r="AA363" s="74">
        <v>1630</v>
      </c>
      <c r="AB363" s="74">
        <v>1956</v>
      </c>
      <c r="AC363" s="75" t="str">
        <f t="shared" si="44"/>
        <v>WITHIN 5D</v>
      </c>
      <c r="AD363" s="2"/>
      <c r="AE363" s="30"/>
    </row>
    <row r="364" spans="2:31" x14ac:dyDescent="0.35">
      <c r="B364" s="47" t="s">
        <v>86</v>
      </c>
      <c r="C364" s="48">
        <f t="shared" si="41"/>
        <v>0</v>
      </c>
      <c r="D364" s="48"/>
      <c r="E364" s="63"/>
      <c r="F364" s="120">
        <f t="shared" ref="F364:Z364" si="66">SUM(F48,F50,F69,F70,F324)</f>
        <v>0</v>
      </c>
      <c r="G364" s="120">
        <f t="shared" si="66"/>
        <v>0</v>
      </c>
      <c r="H364" s="120">
        <f t="shared" si="66"/>
        <v>0</v>
      </c>
      <c r="I364" s="120">
        <f t="shared" si="66"/>
        <v>0</v>
      </c>
      <c r="J364" s="120">
        <f t="shared" si="66"/>
        <v>0</v>
      </c>
      <c r="K364" s="120">
        <f t="shared" si="66"/>
        <v>0</v>
      </c>
      <c r="L364" s="120">
        <f t="shared" si="66"/>
        <v>0</v>
      </c>
      <c r="M364" s="120">
        <f t="shared" si="66"/>
        <v>0</v>
      </c>
      <c r="N364" s="120">
        <f t="shared" si="66"/>
        <v>0</v>
      </c>
      <c r="O364" s="120">
        <f t="shared" si="66"/>
        <v>0</v>
      </c>
      <c r="P364" s="120">
        <f t="shared" si="66"/>
        <v>0</v>
      </c>
      <c r="Q364" s="120">
        <f t="shared" si="66"/>
        <v>0</v>
      </c>
      <c r="R364" s="120">
        <f t="shared" si="66"/>
        <v>0</v>
      </c>
      <c r="S364" s="120">
        <f t="shared" si="66"/>
        <v>0</v>
      </c>
      <c r="T364" s="120">
        <f t="shared" si="66"/>
        <v>0</v>
      </c>
      <c r="U364" s="120">
        <f t="shared" si="66"/>
        <v>0</v>
      </c>
      <c r="V364" s="120">
        <f t="shared" si="66"/>
        <v>0</v>
      </c>
      <c r="W364" s="120">
        <f t="shared" si="66"/>
        <v>0</v>
      </c>
      <c r="X364" s="120">
        <f t="shared" si="66"/>
        <v>0</v>
      </c>
      <c r="Y364" s="120">
        <f t="shared" si="66"/>
        <v>0</v>
      </c>
      <c r="Z364" s="120">
        <f t="shared" si="66"/>
        <v>0</v>
      </c>
      <c r="AA364" s="74">
        <v>1630</v>
      </c>
      <c r="AB364" s="74">
        <v>1956</v>
      </c>
      <c r="AC364" s="75" t="str">
        <f t="shared" si="44"/>
        <v>WITHIN 5D</v>
      </c>
      <c r="AD364" s="2"/>
      <c r="AE364" s="30"/>
    </row>
    <row r="365" spans="2:31" x14ac:dyDescent="0.35">
      <c r="B365" s="47" t="s">
        <v>215</v>
      </c>
      <c r="C365" s="48">
        <f t="shared" si="41"/>
        <v>810</v>
      </c>
      <c r="D365" s="48"/>
      <c r="E365" s="63"/>
      <c r="F365" s="120">
        <f>SUM(F66,F67,F92,F93,F96,F103,F104,F106,F311,F312,F313,F321)</f>
        <v>135</v>
      </c>
      <c r="G365" s="120">
        <f t="shared" ref="G365:Z365" si="67">SUM(G66,G67,G92,G93,G96,G103,G104,G106,G311,G312,G313,G321)</f>
        <v>0</v>
      </c>
      <c r="H365" s="120">
        <f t="shared" si="67"/>
        <v>135</v>
      </c>
      <c r="I365" s="120">
        <f t="shared" si="67"/>
        <v>135</v>
      </c>
      <c r="J365" s="120">
        <f t="shared" si="67"/>
        <v>0</v>
      </c>
      <c r="K365" s="120">
        <f t="shared" si="67"/>
        <v>135</v>
      </c>
      <c r="L365" s="120">
        <f t="shared" si="67"/>
        <v>135</v>
      </c>
      <c r="M365" s="120">
        <f t="shared" si="67"/>
        <v>0</v>
      </c>
      <c r="N365" s="120">
        <f t="shared" si="67"/>
        <v>135</v>
      </c>
      <c r="O365" s="120">
        <f t="shared" si="67"/>
        <v>0</v>
      </c>
      <c r="P365" s="120">
        <f t="shared" si="67"/>
        <v>0</v>
      </c>
      <c r="Q365" s="120">
        <f t="shared" si="67"/>
        <v>0</v>
      </c>
      <c r="R365" s="120">
        <f t="shared" si="67"/>
        <v>0</v>
      </c>
      <c r="S365" s="120">
        <f t="shared" si="67"/>
        <v>0</v>
      </c>
      <c r="T365" s="120">
        <f t="shared" si="67"/>
        <v>0</v>
      </c>
      <c r="U365" s="120">
        <f t="shared" si="67"/>
        <v>0</v>
      </c>
      <c r="V365" s="120">
        <f t="shared" si="67"/>
        <v>0</v>
      </c>
      <c r="W365" s="120">
        <f t="shared" si="67"/>
        <v>0</v>
      </c>
      <c r="X365" s="120">
        <f t="shared" si="67"/>
        <v>0</v>
      </c>
      <c r="Y365" s="120">
        <f t="shared" si="67"/>
        <v>0</v>
      </c>
      <c r="Z365" s="120">
        <f t="shared" si="67"/>
        <v>0</v>
      </c>
      <c r="AA365" s="74">
        <v>1630</v>
      </c>
      <c r="AB365" s="74">
        <v>1956</v>
      </c>
      <c r="AC365" s="75" t="str">
        <f t="shared" si="44"/>
        <v>WITHIN 5D</v>
      </c>
      <c r="AD365" s="2"/>
      <c r="AE365" s="17"/>
    </row>
    <row r="366" spans="2:31" x14ac:dyDescent="0.35">
      <c r="B366" s="47" t="s">
        <v>133</v>
      </c>
      <c r="C366" s="48">
        <f t="shared" si="41"/>
        <v>0</v>
      </c>
      <c r="D366" s="48"/>
      <c r="E366" s="63"/>
      <c r="F366" s="120">
        <f t="shared" ref="F366:Z366" si="68">F164</f>
        <v>0</v>
      </c>
      <c r="G366" s="120">
        <f t="shared" si="68"/>
        <v>0</v>
      </c>
      <c r="H366" s="120">
        <f t="shared" si="68"/>
        <v>0</v>
      </c>
      <c r="I366" s="120">
        <f t="shared" si="68"/>
        <v>0</v>
      </c>
      <c r="J366" s="120">
        <f t="shared" si="68"/>
        <v>0</v>
      </c>
      <c r="K366" s="120">
        <f t="shared" si="68"/>
        <v>0</v>
      </c>
      <c r="L366" s="120">
        <f t="shared" si="68"/>
        <v>0</v>
      </c>
      <c r="M366" s="120">
        <f t="shared" si="68"/>
        <v>0</v>
      </c>
      <c r="N366" s="120">
        <f t="shared" si="68"/>
        <v>0</v>
      </c>
      <c r="O366" s="120">
        <f t="shared" si="68"/>
        <v>0</v>
      </c>
      <c r="P366" s="120">
        <f t="shared" si="68"/>
        <v>0</v>
      </c>
      <c r="Q366" s="120">
        <f t="shared" si="68"/>
        <v>0</v>
      </c>
      <c r="R366" s="120">
        <f t="shared" si="68"/>
        <v>0</v>
      </c>
      <c r="S366" s="120">
        <f t="shared" si="68"/>
        <v>0</v>
      </c>
      <c r="T366" s="120">
        <f t="shared" si="68"/>
        <v>0</v>
      </c>
      <c r="U366" s="120">
        <f t="shared" si="68"/>
        <v>0</v>
      </c>
      <c r="V366" s="120">
        <f t="shared" si="68"/>
        <v>0</v>
      </c>
      <c r="W366" s="120">
        <f t="shared" si="68"/>
        <v>0</v>
      </c>
      <c r="X366" s="120">
        <f t="shared" si="68"/>
        <v>0</v>
      </c>
      <c r="Y366" s="120">
        <f t="shared" si="68"/>
        <v>0</v>
      </c>
      <c r="Z366" s="120">
        <f t="shared" si="68"/>
        <v>0</v>
      </c>
      <c r="AA366" s="74"/>
      <c r="AB366" s="74"/>
      <c r="AC366" s="75" t="str">
        <f t="shared" si="44"/>
        <v>WITHIN 5D</v>
      </c>
      <c r="AD366" s="2"/>
    </row>
    <row r="367" spans="2:31" x14ac:dyDescent="0.35">
      <c r="B367" s="47" t="s">
        <v>216</v>
      </c>
      <c r="C367" s="48">
        <f t="shared" si="41"/>
        <v>0</v>
      </c>
      <c r="D367" s="48"/>
      <c r="E367" s="63"/>
      <c r="F367" s="120">
        <f t="shared" ref="F367:Z367" si="69">SUM(F135,F152)</f>
        <v>0</v>
      </c>
      <c r="G367" s="120">
        <f t="shared" si="69"/>
        <v>0</v>
      </c>
      <c r="H367" s="120">
        <f t="shared" si="69"/>
        <v>0</v>
      </c>
      <c r="I367" s="120">
        <f t="shared" si="69"/>
        <v>0</v>
      </c>
      <c r="J367" s="120">
        <f t="shared" si="69"/>
        <v>0</v>
      </c>
      <c r="K367" s="120">
        <f t="shared" si="69"/>
        <v>0</v>
      </c>
      <c r="L367" s="120">
        <f t="shared" si="69"/>
        <v>0</v>
      </c>
      <c r="M367" s="120">
        <f t="shared" si="69"/>
        <v>0</v>
      </c>
      <c r="N367" s="120">
        <f t="shared" si="69"/>
        <v>0</v>
      </c>
      <c r="O367" s="120">
        <f t="shared" si="69"/>
        <v>0</v>
      </c>
      <c r="P367" s="120">
        <f t="shared" si="69"/>
        <v>0</v>
      </c>
      <c r="Q367" s="120">
        <f t="shared" si="69"/>
        <v>0</v>
      </c>
      <c r="R367" s="120">
        <f t="shared" si="69"/>
        <v>0</v>
      </c>
      <c r="S367" s="120">
        <f t="shared" si="69"/>
        <v>0</v>
      </c>
      <c r="T367" s="120">
        <f t="shared" si="69"/>
        <v>0</v>
      </c>
      <c r="U367" s="120">
        <f t="shared" si="69"/>
        <v>0</v>
      </c>
      <c r="V367" s="120">
        <f t="shared" si="69"/>
        <v>0</v>
      </c>
      <c r="W367" s="120">
        <f t="shared" si="69"/>
        <v>0</v>
      </c>
      <c r="X367" s="120">
        <f t="shared" si="69"/>
        <v>0</v>
      </c>
      <c r="Y367" s="120">
        <f t="shared" si="69"/>
        <v>0</v>
      </c>
      <c r="Z367" s="120">
        <f t="shared" si="69"/>
        <v>0</v>
      </c>
      <c r="AA367" s="74"/>
      <c r="AB367" s="74"/>
      <c r="AC367" s="75" t="str">
        <f t="shared" si="44"/>
        <v>WITHIN 5D</v>
      </c>
      <c r="AD367" s="2"/>
    </row>
    <row r="368" spans="2:31" x14ac:dyDescent="0.35">
      <c r="B368" s="47" t="s">
        <v>500</v>
      </c>
      <c r="C368" s="48">
        <f t="shared" si="41"/>
        <v>18</v>
      </c>
      <c r="D368" s="48"/>
      <c r="E368" s="63"/>
      <c r="F368" s="120">
        <f t="shared" ref="F368:Z368" si="70">F145</f>
        <v>18</v>
      </c>
      <c r="G368" s="120">
        <f t="shared" si="70"/>
        <v>0</v>
      </c>
      <c r="H368" s="120">
        <f t="shared" si="70"/>
        <v>0</v>
      </c>
      <c r="I368" s="120">
        <f t="shared" si="70"/>
        <v>0</v>
      </c>
      <c r="J368" s="120">
        <f t="shared" si="70"/>
        <v>0</v>
      </c>
      <c r="K368" s="120">
        <f t="shared" si="70"/>
        <v>0</v>
      </c>
      <c r="L368" s="120">
        <f t="shared" si="70"/>
        <v>0</v>
      </c>
      <c r="M368" s="120">
        <f t="shared" si="70"/>
        <v>0</v>
      </c>
      <c r="N368" s="120">
        <f t="shared" si="70"/>
        <v>0</v>
      </c>
      <c r="O368" s="120">
        <f t="shared" si="70"/>
        <v>0</v>
      </c>
      <c r="P368" s="120">
        <f t="shared" si="70"/>
        <v>0</v>
      </c>
      <c r="Q368" s="120">
        <f t="shared" si="70"/>
        <v>0</v>
      </c>
      <c r="R368" s="120">
        <f t="shared" si="70"/>
        <v>0</v>
      </c>
      <c r="S368" s="120">
        <f t="shared" si="70"/>
        <v>0</v>
      </c>
      <c r="T368" s="120">
        <f t="shared" si="70"/>
        <v>0</v>
      </c>
      <c r="U368" s="120">
        <f t="shared" si="70"/>
        <v>0</v>
      </c>
      <c r="V368" s="120">
        <f t="shared" si="70"/>
        <v>0</v>
      </c>
      <c r="W368" s="120">
        <f t="shared" si="70"/>
        <v>0</v>
      </c>
      <c r="X368" s="120">
        <f t="shared" si="70"/>
        <v>0</v>
      </c>
      <c r="Y368" s="120">
        <f t="shared" si="70"/>
        <v>0</v>
      </c>
      <c r="Z368" s="120">
        <f t="shared" si="70"/>
        <v>0</v>
      </c>
      <c r="AA368" s="74"/>
      <c r="AB368" s="74"/>
      <c r="AC368" s="75"/>
      <c r="AD368" s="2"/>
    </row>
    <row r="369" spans="2:30" x14ac:dyDescent="0.35">
      <c r="B369" s="47" t="s">
        <v>499</v>
      </c>
      <c r="C369" s="48">
        <f t="shared" si="41"/>
        <v>18</v>
      </c>
      <c r="D369" s="48"/>
      <c r="E369" s="63"/>
      <c r="F369" s="120">
        <f t="shared" ref="F369:Z369" si="71">F113</f>
        <v>18</v>
      </c>
      <c r="G369" s="120">
        <f t="shared" si="71"/>
        <v>0</v>
      </c>
      <c r="H369" s="120">
        <f t="shared" si="71"/>
        <v>0</v>
      </c>
      <c r="I369" s="120">
        <f t="shared" si="71"/>
        <v>0</v>
      </c>
      <c r="J369" s="120">
        <f t="shared" si="71"/>
        <v>0</v>
      </c>
      <c r="K369" s="120">
        <f t="shared" si="71"/>
        <v>0</v>
      </c>
      <c r="L369" s="120">
        <f t="shared" si="71"/>
        <v>0</v>
      </c>
      <c r="M369" s="120">
        <f t="shared" si="71"/>
        <v>0</v>
      </c>
      <c r="N369" s="120">
        <f t="shared" si="71"/>
        <v>0</v>
      </c>
      <c r="O369" s="120">
        <f t="shared" si="71"/>
        <v>0</v>
      </c>
      <c r="P369" s="120">
        <f t="shared" si="71"/>
        <v>0</v>
      </c>
      <c r="Q369" s="120">
        <f t="shared" si="71"/>
        <v>0</v>
      </c>
      <c r="R369" s="120">
        <f t="shared" si="71"/>
        <v>0</v>
      </c>
      <c r="S369" s="120">
        <f t="shared" si="71"/>
        <v>0</v>
      </c>
      <c r="T369" s="120">
        <f t="shared" si="71"/>
        <v>0</v>
      </c>
      <c r="U369" s="120">
        <f t="shared" si="71"/>
        <v>0</v>
      </c>
      <c r="V369" s="120">
        <f t="shared" si="71"/>
        <v>0</v>
      </c>
      <c r="W369" s="120">
        <f t="shared" si="71"/>
        <v>0</v>
      </c>
      <c r="X369" s="120">
        <f t="shared" si="71"/>
        <v>0</v>
      </c>
      <c r="Y369" s="120">
        <f t="shared" si="71"/>
        <v>0</v>
      </c>
      <c r="Z369" s="120">
        <f t="shared" si="71"/>
        <v>0</v>
      </c>
      <c r="AA369" s="74"/>
      <c r="AB369" s="74"/>
      <c r="AC369" s="75"/>
      <c r="AD369" s="2"/>
    </row>
    <row r="370" spans="2:30" x14ac:dyDescent="0.35">
      <c r="B370" s="47" t="s">
        <v>286</v>
      </c>
      <c r="C370" s="48">
        <f t="shared" si="41"/>
        <v>0</v>
      </c>
      <c r="D370" s="48"/>
      <c r="E370" s="63"/>
      <c r="F370" s="120">
        <f t="shared" ref="F370:Z370" si="72">F57</f>
        <v>0</v>
      </c>
      <c r="G370" s="120">
        <f t="shared" si="72"/>
        <v>0</v>
      </c>
      <c r="H370" s="120">
        <f t="shared" si="72"/>
        <v>0</v>
      </c>
      <c r="I370" s="120">
        <f t="shared" si="72"/>
        <v>0</v>
      </c>
      <c r="J370" s="120">
        <f t="shared" si="72"/>
        <v>0</v>
      </c>
      <c r="K370" s="120">
        <f t="shared" si="72"/>
        <v>0</v>
      </c>
      <c r="L370" s="120">
        <f t="shared" si="72"/>
        <v>0</v>
      </c>
      <c r="M370" s="120">
        <f t="shared" si="72"/>
        <v>0</v>
      </c>
      <c r="N370" s="120">
        <f t="shared" si="72"/>
        <v>0</v>
      </c>
      <c r="O370" s="120">
        <f t="shared" si="72"/>
        <v>0</v>
      </c>
      <c r="P370" s="120">
        <f t="shared" si="72"/>
        <v>0</v>
      </c>
      <c r="Q370" s="120">
        <f t="shared" si="72"/>
        <v>0</v>
      </c>
      <c r="R370" s="120">
        <f t="shared" si="72"/>
        <v>0</v>
      </c>
      <c r="S370" s="120">
        <f t="shared" si="72"/>
        <v>0</v>
      </c>
      <c r="T370" s="120">
        <f t="shared" si="72"/>
        <v>0</v>
      </c>
      <c r="U370" s="120">
        <f t="shared" si="72"/>
        <v>0</v>
      </c>
      <c r="V370" s="120">
        <f t="shared" si="72"/>
        <v>0</v>
      </c>
      <c r="W370" s="120">
        <f t="shared" si="72"/>
        <v>0</v>
      </c>
      <c r="X370" s="120">
        <f t="shared" si="72"/>
        <v>0</v>
      </c>
      <c r="Y370" s="120">
        <f t="shared" si="72"/>
        <v>0</v>
      </c>
      <c r="Z370" s="120">
        <f t="shared" si="72"/>
        <v>0</v>
      </c>
      <c r="AA370" s="74"/>
      <c r="AB370" s="74"/>
      <c r="AC370" s="75" t="str">
        <f t="shared" si="44"/>
        <v>WITHIN 5D</v>
      </c>
      <c r="AD370" s="2"/>
    </row>
    <row r="371" spans="2:30" x14ac:dyDescent="0.35">
      <c r="B371" s="47" t="s">
        <v>287</v>
      </c>
      <c r="C371" s="48">
        <f t="shared" si="41"/>
        <v>0</v>
      </c>
      <c r="D371" s="48"/>
      <c r="E371" s="63"/>
      <c r="F371" s="120">
        <f t="shared" ref="F371:Z371" si="73">SUM(F58,F146)</f>
        <v>0</v>
      </c>
      <c r="G371" s="120">
        <f t="shared" si="73"/>
        <v>0</v>
      </c>
      <c r="H371" s="120">
        <f t="shared" si="73"/>
        <v>0</v>
      </c>
      <c r="I371" s="120">
        <f t="shared" si="73"/>
        <v>0</v>
      </c>
      <c r="J371" s="120">
        <f t="shared" si="73"/>
        <v>0</v>
      </c>
      <c r="K371" s="120">
        <f t="shared" si="73"/>
        <v>0</v>
      </c>
      <c r="L371" s="120">
        <f t="shared" si="73"/>
        <v>0</v>
      </c>
      <c r="M371" s="120">
        <f t="shared" si="73"/>
        <v>0</v>
      </c>
      <c r="N371" s="120">
        <f t="shared" si="73"/>
        <v>0</v>
      </c>
      <c r="O371" s="120">
        <f t="shared" si="73"/>
        <v>0</v>
      </c>
      <c r="P371" s="120">
        <f t="shared" si="73"/>
        <v>0</v>
      </c>
      <c r="Q371" s="120">
        <f t="shared" si="73"/>
        <v>0</v>
      </c>
      <c r="R371" s="120">
        <f t="shared" si="73"/>
        <v>0</v>
      </c>
      <c r="S371" s="120">
        <f t="shared" si="73"/>
        <v>0</v>
      </c>
      <c r="T371" s="120">
        <f t="shared" si="73"/>
        <v>0</v>
      </c>
      <c r="U371" s="120">
        <f t="shared" si="73"/>
        <v>0</v>
      </c>
      <c r="V371" s="120">
        <f t="shared" si="73"/>
        <v>0</v>
      </c>
      <c r="W371" s="120">
        <f t="shared" si="73"/>
        <v>0</v>
      </c>
      <c r="X371" s="120">
        <f t="shared" si="73"/>
        <v>0</v>
      </c>
      <c r="Y371" s="120">
        <f t="shared" si="73"/>
        <v>0</v>
      </c>
      <c r="Z371" s="120">
        <f t="shared" si="73"/>
        <v>0</v>
      </c>
      <c r="AA371" s="74"/>
      <c r="AB371" s="74"/>
      <c r="AC371" s="75" t="str">
        <f t="shared" si="44"/>
        <v>WITHIN 5D</v>
      </c>
      <c r="AD371" s="2"/>
    </row>
    <row r="372" spans="2:30" x14ac:dyDescent="0.35">
      <c r="B372" s="47" t="s">
        <v>281</v>
      </c>
      <c r="C372" s="48">
        <f t="shared" si="41"/>
        <v>0</v>
      </c>
      <c r="D372" s="48"/>
      <c r="E372" s="63"/>
      <c r="F372" s="120">
        <f t="shared" ref="F372:Z372" si="74">F114</f>
        <v>0</v>
      </c>
      <c r="G372" s="120">
        <f t="shared" si="74"/>
        <v>0</v>
      </c>
      <c r="H372" s="120">
        <f t="shared" si="74"/>
        <v>0</v>
      </c>
      <c r="I372" s="120">
        <f t="shared" si="74"/>
        <v>0</v>
      </c>
      <c r="J372" s="120">
        <f t="shared" si="74"/>
        <v>0</v>
      </c>
      <c r="K372" s="120">
        <f t="shared" si="74"/>
        <v>0</v>
      </c>
      <c r="L372" s="120">
        <f t="shared" si="74"/>
        <v>0</v>
      </c>
      <c r="M372" s="120">
        <f t="shared" si="74"/>
        <v>0</v>
      </c>
      <c r="N372" s="120">
        <f t="shared" si="74"/>
        <v>0</v>
      </c>
      <c r="O372" s="120">
        <f t="shared" si="74"/>
        <v>0</v>
      </c>
      <c r="P372" s="120">
        <f t="shared" si="74"/>
        <v>0</v>
      </c>
      <c r="Q372" s="120">
        <f t="shared" si="74"/>
        <v>0</v>
      </c>
      <c r="R372" s="120">
        <f t="shared" si="74"/>
        <v>0</v>
      </c>
      <c r="S372" s="120">
        <f t="shared" si="74"/>
        <v>0</v>
      </c>
      <c r="T372" s="120">
        <f t="shared" si="74"/>
        <v>0</v>
      </c>
      <c r="U372" s="120">
        <f t="shared" si="74"/>
        <v>0</v>
      </c>
      <c r="V372" s="120">
        <f t="shared" si="74"/>
        <v>0</v>
      </c>
      <c r="W372" s="120">
        <f t="shared" si="74"/>
        <v>0</v>
      </c>
      <c r="X372" s="120">
        <f t="shared" si="74"/>
        <v>0</v>
      </c>
      <c r="Y372" s="120">
        <f t="shared" si="74"/>
        <v>0</v>
      </c>
      <c r="Z372" s="120">
        <f t="shared" si="74"/>
        <v>0</v>
      </c>
      <c r="AA372" s="74"/>
      <c r="AB372" s="74"/>
      <c r="AC372" s="75" t="str">
        <f t="shared" si="44"/>
        <v>WITHIN 5D</v>
      </c>
      <c r="AD372" s="2"/>
    </row>
    <row r="373" spans="2:30" x14ac:dyDescent="0.35">
      <c r="B373" s="47" t="s">
        <v>135</v>
      </c>
      <c r="C373" s="48">
        <f t="shared" si="41"/>
        <v>0</v>
      </c>
      <c r="D373" s="48"/>
      <c r="E373" s="63"/>
      <c r="F373" s="120">
        <f t="shared" ref="F373:Z373" si="75">F165</f>
        <v>0</v>
      </c>
      <c r="G373" s="120">
        <f t="shared" si="75"/>
        <v>0</v>
      </c>
      <c r="H373" s="120">
        <f t="shared" si="75"/>
        <v>0</v>
      </c>
      <c r="I373" s="120">
        <f t="shared" si="75"/>
        <v>0</v>
      </c>
      <c r="J373" s="120">
        <f t="shared" si="75"/>
        <v>0</v>
      </c>
      <c r="K373" s="120">
        <f t="shared" si="75"/>
        <v>0</v>
      </c>
      <c r="L373" s="120">
        <f t="shared" si="75"/>
        <v>0</v>
      </c>
      <c r="M373" s="120">
        <f t="shared" si="75"/>
        <v>0</v>
      </c>
      <c r="N373" s="120">
        <f t="shared" si="75"/>
        <v>0</v>
      </c>
      <c r="O373" s="120">
        <f t="shared" si="75"/>
        <v>0</v>
      </c>
      <c r="P373" s="120">
        <f t="shared" si="75"/>
        <v>0</v>
      </c>
      <c r="Q373" s="120">
        <f t="shared" si="75"/>
        <v>0</v>
      </c>
      <c r="R373" s="120">
        <f t="shared" si="75"/>
        <v>0</v>
      </c>
      <c r="S373" s="120">
        <f t="shared" si="75"/>
        <v>0</v>
      </c>
      <c r="T373" s="120">
        <f t="shared" si="75"/>
        <v>0</v>
      </c>
      <c r="U373" s="120">
        <f t="shared" si="75"/>
        <v>0</v>
      </c>
      <c r="V373" s="120">
        <f t="shared" si="75"/>
        <v>0</v>
      </c>
      <c r="W373" s="120">
        <f t="shared" si="75"/>
        <v>0</v>
      </c>
      <c r="X373" s="120">
        <f t="shared" si="75"/>
        <v>0</v>
      </c>
      <c r="Y373" s="120">
        <f t="shared" si="75"/>
        <v>0</v>
      </c>
      <c r="Z373" s="120">
        <f t="shared" si="75"/>
        <v>0</v>
      </c>
      <c r="AA373" s="74"/>
      <c r="AB373" s="74"/>
      <c r="AC373" s="75" t="str">
        <f t="shared" si="44"/>
        <v>WITHIN 5D</v>
      </c>
      <c r="AD373" s="2"/>
    </row>
    <row r="374" spans="2:30" x14ac:dyDescent="0.35">
      <c r="B374" s="47" t="s">
        <v>217</v>
      </c>
      <c r="C374" s="48">
        <f t="shared" si="41"/>
        <v>0</v>
      </c>
      <c r="D374" s="48"/>
      <c r="E374" s="63"/>
      <c r="F374" s="120">
        <f t="shared" ref="F374:Z374" si="76">F169</f>
        <v>0</v>
      </c>
      <c r="G374" s="120">
        <f t="shared" si="76"/>
        <v>0</v>
      </c>
      <c r="H374" s="120">
        <f t="shared" si="76"/>
        <v>0</v>
      </c>
      <c r="I374" s="120">
        <f t="shared" si="76"/>
        <v>0</v>
      </c>
      <c r="J374" s="120">
        <f t="shared" si="76"/>
        <v>0</v>
      </c>
      <c r="K374" s="120">
        <f t="shared" si="76"/>
        <v>0</v>
      </c>
      <c r="L374" s="120">
        <f t="shared" si="76"/>
        <v>0</v>
      </c>
      <c r="M374" s="120">
        <f t="shared" si="76"/>
        <v>0</v>
      </c>
      <c r="N374" s="120">
        <f t="shared" si="76"/>
        <v>0</v>
      </c>
      <c r="O374" s="120">
        <f t="shared" si="76"/>
        <v>0</v>
      </c>
      <c r="P374" s="120">
        <f t="shared" si="76"/>
        <v>0</v>
      </c>
      <c r="Q374" s="120">
        <f t="shared" si="76"/>
        <v>0</v>
      </c>
      <c r="R374" s="120">
        <f t="shared" si="76"/>
        <v>0</v>
      </c>
      <c r="S374" s="120">
        <f t="shared" si="76"/>
        <v>0</v>
      </c>
      <c r="T374" s="120">
        <f t="shared" si="76"/>
        <v>0</v>
      </c>
      <c r="U374" s="120">
        <f t="shared" si="76"/>
        <v>0</v>
      </c>
      <c r="V374" s="120">
        <f t="shared" si="76"/>
        <v>0</v>
      </c>
      <c r="W374" s="120">
        <f t="shared" si="76"/>
        <v>0</v>
      </c>
      <c r="X374" s="120">
        <f t="shared" si="76"/>
        <v>0</v>
      </c>
      <c r="Y374" s="120">
        <f t="shared" si="76"/>
        <v>0</v>
      </c>
      <c r="Z374" s="120">
        <f t="shared" si="76"/>
        <v>0</v>
      </c>
      <c r="AA374" s="74">
        <v>1630</v>
      </c>
      <c r="AB374" s="74">
        <v>1956</v>
      </c>
      <c r="AC374" s="75" t="str">
        <f t="shared" si="44"/>
        <v>WITHIN 5D</v>
      </c>
      <c r="AD374" s="2"/>
    </row>
    <row r="375" spans="2:30" x14ac:dyDescent="0.35">
      <c r="B375" s="47" t="s">
        <v>218</v>
      </c>
      <c r="C375" s="48">
        <f t="shared" si="41"/>
        <v>0</v>
      </c>
      <c r="D375" s="48"/>
      <c r="E375" s="63"/>
      <c r="F375" s="120">
        <f t="shared" ref="F375:Z375" si="77">F171</f>
        <v>0</v>
      </c>
      <c r="G375" s="120">
        <f t="shared" si="77"/>
        <v>0</v>
      </c>
      <c r="H375" s="120">
        <f t="shared" si="77"/>
        <v>0</v>
      </c>
      <c r="I375" s="120">
        <f t="shared" si="77"/>
        <v>0</v>
      </c>
      <c r="J375" s="120">
        <f t="shared" si="77"/>
        <v>0</v>
      </c>
      <c r="K375" s="120">
        <f t="shared" si="77"/>
        <v>0</v>
      </c>
      <c r="L375" s="120">
        <f t="shared" si="77"/>
        <v>0</v>
      </c>
      <c r="M375" s="120">
        <f t="shared" si="77"/>
        <v>0</v>
      </c>
      <c r="N375" s="120">
        <f t="shared" si="77"/>
        <v>0</v>
      </c>
      <c r="O375" s="120">
        <f t="shared" si="77"/>
        <v>0</v>
      </c>
      <c r="P375" s="120">
        <f t="shared" si="77"/>
        <v>0</v>
      </c>
      <c r="Q375" s="120">
        <f t="shared" si="77"/>
        <v>0</v>
      </c>
      <c r="R375" s="120">
        <f t="shared" si="77"/>
        <v>0</v>
      </c>
      <c r="S375" s="120">
        <f t="shared" si="77"/>
        <v>0</v>
      </c>
      <c r="T375" s="120">
        <f t="shared" si="77"/>
        <v>0</v>
      </c>
      <c r="U375" s="120">
        <f t="shared" si="77"/>
        <v>0</v>
      </c>
      <c r="V375" s="120">
        <f t="shared" si="77"/>
        <v>0</v>
      </c>
      <c r="W375" s="120">
        <f t="shared" si="77"/>
        <v>0</v>
      </c>
      <c r="X375" s="120">
        <f t="shared" si="77"/>
        <v>0</v>
      </c>
      <c r="Y375" s="120">
        <f t="shared" si="77"/>
        <v>0</v>
      </c>
      <c r="Z375" s="120">
        <f t="shared" si="77"/>
        <v>0</v>
      </c>
      <c r="AA375" s="74"/>
      <c r="AB375" s="74"/>
      <c r="AC375" s="75" t="str">
        <f t="shared" si="44"/>
        <v>WITHIN 5D</v>
      </c>
      <c r="AD375" s="2"/>
    </row>
    <row r="376" spans="2:30" x14ac:dyDescent="0.35">
      <c r="B376" s="47" t="s">
        <v>219</v>
      </c>
      <c r="C376" s="48">
        <f t="shared" si="41"/>
        <v>0</v>
      </c>
      <c r="D376" s="48"/>
      <c r="E376" s="63"/>
      <c r="F376" s="120">
        <f t="shared" ref="F376:Z376" si="78">F172</f>
        <v>0</v>
      </c>
      <c r="G376" s="120">
        <f t="shared" si="78"/>
        <v>0</v>
      </c>
      <c r="H376" s="120">
        <f t="shared" si="78"/>
        <v>0</v>
      </c>
      <c r="I376" s="120">
        <f t="shared" si="78"/>
        <v>0</v>
      </c>
      <c r="J376" s="120">
        <f t="shared" si="78"/>
        <v>0</v>
      </c>
      <c r="K376" s="120">
        <f t="shared" si="78"/>
        <v>0</v>
      </c>
      <c r="L376" s="120">
        <f t="shared" si="78"/>
        <v>0</v>
      </c>
      <c r="M376" s="120">
        <f t="shared" si="78"/>
        <v>0</v>
      </c>
      <c r="N376" s="120">
        <f t="shared" si="78"/>
        <v>0</v>
      </c>
      <c r="O376" s="120">
        <f t="shared" si="78"/>
        <v>0</v>
      </c>
      <c r="P376" s="120">
        <f t="shared" si="78"/>
        <v>0</v>
      </c>
      <c r="Q376" s="120">
        <f t="shared" si="78"/>
        <v>0</v>
      </c>
      <c r="R376" s="120">
        <f t="shared" si="78"/>
        <v>0</v>
      </c>
      <c r="S376" s="120">
        <f t="shared" si="78"/>
        <v>0</v>
      </c>
      <c r="T376" s="120">
        <f t="shared" si="78"/>
        <v>0</v>
      </c>
      <c r="U376" s="120">
        <f t="shared" si="78"/>
        <v>0</v>
      </c>
      <c r="V376" s="120">
        <f t="shared" si="78"/>
        <v>0</v>
      </c>
      <c r="W376" s="120">
        <f t="shared" si="78"/>
        <v>0</v>
      </c>
      <c r="X376" s="120">
        <f t="shared" si="78"/>
        <v>0</v>
      </c>
      <c r="Y376" s="120">
        <f t="shared" si="78"/>
        <v>0</v>
      </c>
      <c r="Z376" s="120">
        <f t="shared" si="78"/>
        <v>0</v>
      </c>
      <c r="AA376" s="74"/>
      <c r="AB376" s="74"/>
      <c r="AC376" s="75" t="str">
        <f t="shared" si="44"/>
        <v>WITHIN 5D</v>
      </c>
      <c r="AD376" s="2"/>
    </row>
    <row r="377" spans="2:30" x14ac:dyDescent="0.35">
      <c r="B377" s="47" t="s">
        <v>220</v>
      </c>
      <c r="C377" s="48">
        <f t="shared" si="41"/>
        <v>0</v>
      </c>
      <c r="D377" s="48"/>
      <c r="E377" s="63"/>
      <c r="F377" s="120">
        <f t="shared" ref="F377:Z377" si="79">SUM(F217,F218,F219,F220)</f>
        <v>0</v>
      </c>
      <c r="G377" s="120">
        <f t="shared" si="79"/>
        <v>0</v>
      </c>
      <c r="H377" s="120">
        <f t="shared" si="79"/>
        <v>0</v>
      </c>
      <c r="I377" s="120">
        <f t="shared" si="79"/>
        <v>0</v>
      </c>
      <c r="J377" s="120">
        <f t="shared" si="79"/>
        <v>0</v>
      </c>
      <c r="K377" s="120">
        <f t="shared" si="79"/>
        <v>0</v>
      </c>
      <c r="L377" s="120">
        <f t="shared" si="79"/>
        <v>0</v>
      </c>
      <c r="M377" s="120">
        <f t="shared" si="79"/>
        <v>0</v>
      </c>
      <c r="N377" s="120">
        <f t="shared" si="79"/>
        <v>0</v>
      </c>
      <c r="O377" s="120">
        <f t="shared" si="79"/>
        <v>0</v>
      </c>
      <c r="P377" s="120">
        <f t="shared" si="79"/>
        <v>0</v>
      </c>
      <c r="Q377" s="120">
        <f t="shared" si="79"/>
        <v>0</v>
      </c>
      <c r="R377" s="120">
        <f t="shared" si="79"/>
        <v>0</v>
      </c>
      <c r="S377" s="120">
        <f t="shared" si="79"/>
        <v>0</v>
      </c>
      <c r="T377" s="120">
        <f t="shared" si="79"/>
        <v>0</v>
      </c>
      <c r="U377" s="120">
        <f t="shared" si="79"/>
        <v>0</v>
      </c>
      <c r="V377" s="120">
        <f t="shared" si="79"/>
        <v>0</v>
      </c>
      <c r="W377" s="120">
        <f t="shared" si="79"/>
        <v>0</v>
      </c>
      <c r="X377" s="120">
        <f t="shared" si="79"/>
        <v>0</v>
      </c>
      <c r="Y377" s="120">
        <f t="shared" si="79"/>
        <v>0</v>
      </c>
      <c r="Z377" s="120">
        <f t="shared" si="79"/>
        <v>0</v>
      </c>
      <c r="AA377" s="74">
        <v>1630</v>
      </c>
      <c r="AB377" s="74">
        <v>1956</v>
      </c>
      <c r="AC377" s="75" t="str">
        <f t="shared" si="44"/>
        <v>WITHIN 5D</v>
      </c>
      <c r="AD377" s="2"/>
    </row>
    <row r="378" spans="2:30" x14ac:dyDescent="0.35">
      <c r="B378" s="47" t="s">
        <v>170</v>
      </c>
      <c r="C378" s="48">
        <f t="shared" si="41"/>
        <v>175</v>
      </c>
      <c r="D378" s="48"/>
      <c r="E378" s="63"/>
      <c r="F378" s="120">
        <f t="shared" ref="F378:Z378" si="80">SUM(F198,F199,F200,F201,F202,F203,F204,F205,F206,F207,F208,F209,F210,F211,F212,F213,F214,F215,F216)</f>
        <v>80</v>
      </c>
      <c r="G378" s="120">
        <f t="shared" si="80"/>
        <v>10</v>
      </c>
      <c r="H378" s="120">
        <f t="shared" si="80"/>
        <v>0</v>
      </c>
      <c r="I378" s="120">
        <f t="shared" si="80"/>
        <v>59</v>
      </c>
      <c r="J378" s="120">
        <f t="shared" si="80"/>
        <v>26</v>
      </c>
      <c r="K378" s="120">
        <f t="shared" si="80"/>
        <v>0</v>
      </c>
      <c r="L378" s="120">
        <f t="shared" si="80"/>
        <v>0</v>
      </c>
      <c r="M378" s="120">
        <f t="shared" si="80"/>
        <v>0</v>
      </c>
      <c r="N378" s="120">
        <f t="shared" si="80"/>
        <v>0</v>
      </c>
      <c r="O378" s="120">
        <f t="shared" si="80"/>
        <v>0</v>
      </c>
      <c r="P378" s="120">
        <f t="shared" si="80"/>
        <v>0</v>
      </c>
      <c r="Q378" s="120">
        <f t="shared" si="80"/>
        <v>0</v>
      </c>
      <c r="R378" s="120">
        <f t="shared" si="80"/>
        <v>0</v>
      </c>
      <c r="S378" s="120">
        <f t="shared" si="80"/>
        <v>0</v>
      </c>
      <c r="T378" s="120">
        <f t="shared" si="80"/>
        <v>0</v>
      </c>
      <c r="U378" s="120">
        <f t="shared" si="80"/>
        <v>0</v>
      </c>
      <c r="V378" s="120">
        <f t="shared" si="80"/>
        <v>0</v>
      </c>
      <c r="W378" s="120">
        <f t="shared" si="80"/>
        <v>0</v>
      </c>
      <c r="X378" s="120">
        <f t="shared" si="80"/>
        <v>0</v>
      </c>
      <c r="Y378" s="120">
        <f t="shared" si="80"/>
        <v>0</v>
      </c>
      <c r="Z378" s="120">
        <f t="shared" si="80"/>
        <v>0</v>
      </c>
      <c r="AA378" s="74"/>
      <c r="AB378" s="74"/>
      <c r="AC378" s="75" t="str">
        <f t="shared" si="44"/>
        <v>OVER CAPACITY</v>
      </c>
      <c r="AD378" s="2"/>
    </row>
    <row r="379" spans="2:30" x14ac:dyDescent="0.35">
      <c r="B379" s="47" t="s">
        <v>221</v>
      </c>
      <c r="C379" s="48">
        <f t="shared" si="41"/>
        <v>0</v>
      </c>
      <c r="D379" s="48"/>
      <c r="E379" s="63"/>
      <c r="F379" s="120">
        <f t="shared" ref="F379:Z379" si="81">F134</f>
        <v>0</v>
      </c>
      <c r="G379" s="120">
        <f t="shared" si="81"/>
        <v>0</v>
      </c>
      <c r="H379" s="120">
        <f t="shared" si="81"/>
        <v>0</v>
      </c>
      <c r="I379" s="120">
        <f t="shared" si="81"/>
        <v>0</v>
      </c>
      <c r="J379" s="120">
        <f t="shared" si="81"/>
        <v>0</v>
      </c>
      <c r="K379" s="120">
        <f t="shared" si="81"/>
        <v>0</v>
      </c>
      <c r="L379" s="120">
        <f t="shared" si="81"/>
        <v>0</v>
      </c>
      <c r="M379" s="120">
        <f t="shared" si="81"/>
        <v>0</v>
      </c>
      <c r="N379" s="120">
        <f t="shared" si="81"/>
        <v>0</v>
      </c>
      <c r="O379" s="120">
        <f t="shared" si="81"/>
        <v>0</v>
      </c>
      <c r="P379" s="120">
        <f t="shared" si="81"/>
        <v>0</v>
      </c>
      <c r="Q379" s="120">
        <f t="shared" si="81"/>
        <v>0</v>
      </c>
      <c r="R379" s="120">
        <f t="shared" si="81"/>
        <v>0</v>
      </c>
      <c r="S379" s="120">
        <f t="shared" si="81"/>
        <v>0</v>
      </c>
      <c r="T379" s="120">
        <f t="shared" si="81"/>
        <v>0</v>
      </c>
      <c r="U379" s="120">
        <f t="shared" si="81"/>
        <v>0</v>
      </c>
      <c r="V379" s="120">
        <f t="shared" si="81"/>
        <v>0</v>
      </c>
      <c r="W379" s="120">
        <f t="shared" si="81"/>
        <v>0</v>
      </c>
      <c r="X379" s="120">
        <f t="shared" si="81"/>
        <v>0</v>
      </c>
      <c r="Y379" s="120">
        <f t="shared" si="81"/>
        <v>0</v>
      </c>
      <c r="Z379" s="120">
        <f t="shared" si="81"/>
        <v>0</v>
      </c>
      <c r="AA379" s="74"/>
      <c r="AB379" s="74"/>
      <c r="AC379" s="75" t="str">
        <f t="shared" si="44"/>
        <v>WITHIN 5D</v>
      </c>
      <c r="AD379" s="2"/>
    </row>
    <row r="380" spans="2:30" x14ac:dyDescent="0.35">
      <c r="B380" s="47" t="s">
        <v>112</v>
      </c>
      <c r="C380" s="48">
        <f t="shared" si="41"/>
        <v>0</v>
      </c>
      <c r="D380" s="48"/>
      <c r="E380" s="63"/>
      <c r="F380" s="120">
        <f t="shared" ref="F380:Z380" si="82">SUM(F132,F133,F332,F333)</f>
        <v>0</v>
      </c>
      <c r="G380" s="120">
        <f t="shared" si="82"/>
        <v>0</v>
      </c>
      <c r="H380" s="120">
        <f t="shared" si="82"/>
        <v>0</v>
      </c>
      <c r="I380" s="120">
        <f t="shared" si="82"/>
        <v>0</v>
      </c>
      <c r="J380" s="120">
        <f t="shared" si="82"/>
        <v>0</v>
      </c>
      <c r="K380" s="120">
        <f t="shared" si="82"/>
        <v>0</v>
      </c>
      <c r="L380" s="120">
        <f t="shared" si="82"/>
        <v>0</v>
      </c>
      <c r="M380" s="120">
        <f t="shared" si="82"/>
        <v>0</v>
      </c>
      <c r="N380" s="120">
        <f t="shared" si="82"/>
        <v>0</v>
      </c>
      <c r="O380" s="120">
        <f t="shared" si="82"/>
        <v>0</v>
      </c>
      <c r="P380" s="120">
        <f t="shared" si="82"/>
        <v>0</v>
      </c>
      <c r="Q380" s="120">
        <f t="shared" si="82"/>
        <v>0</v>
      </c>
      <c r="R380" s="120">
        <f t="shared" si="82"/>
        <v>0</v>
      </c>
      <c r="S380" s="120">
        <f t="shared" si="82"/>
        <v>0</v>
      </c>
      <c r="T380" s="120">
        <f t="shared" si="82"/>
        <v>0</v>
      </c>
      <c r="U380" s="120">
        <f t="shared" si="82"/>
        <v>0</v>
      </c>
      <c r="V380" s="120">
        <f t="shared" si="82"/>
        <v>0</v>
      </c>
      <c r="W380" s="120">
        <f t="shared" si="82"/>
        <v>0</v>
      </c>
      <c r="X380" s="120">
        <f t="shared" si="82"/>
        <v>0</v>
      </c>
      <c r="Y380" s="120">
        <f t="shared" si="82"/>
        <v>0</v>
      </c>
      <c r="Z380" s="120">
        <f t="shared" si="82"/>
        <v>0</v>
      </c>
      <c r="AA380" s="74">
        <v>1630</v>
      </c>
      <c r="AB380" s="74">
        <v>1956</v>
      </c>
      <c r="AC380" s="75" t="str">
        <f t="shared" si="44"/>
        <v>WITHIN 5D</v>
      </c>
      <c r="AD380" s="2"/>
    </row>
    <row r="381" spans="2:30" x14ac:dyDescent="0.35">
      <c r="B381" s="47" t="s">
        <v>90</v>
      </c>
      <c r="C381" s="48">
        <f t="shared" si="41"/>
        <v>0</v>
      </c>
      <c r="D381" s="48"/>
      <c r="E381" s="63"/>
      <c r="F381" s="120">
        <f t="shared" ref="F381:Z381" si="83">SUM(F72,F131,F150,F158,F159)</f>
        <v>0</v>
      </c>
      <c r="G381" s="120">
        <f t="shared" si="83"/>
        <v>0</v>
      </c>
      <c r="H381" s="120">
        <f t="shared" si="83"/>
        <v>0</v>
      </c>
      <c r="I381" s="120">
        <f t="shared" si="83"/>
        <v>0</v>
      </c>
      <c r="J381" s="120">
        <f t="shared" si="83"/>
        <v>0</v>
      </c>
      <c r="K381" s="120">
        <f t="shared" si="83"/>
        <v>0</v>
      </c>
      <c r="L381" s="120">
        <f t="shared" si="83"/>
        <v>0</v>
      </c>
      <c r="M381" s="120">
        <f t="shared" si="83"/>
        <v>0</v>
      </c>
      <c r="N381" s="120">
        <f t="shared" si="83"/>
        <v>0</v>
      </c>
      <c r="O381" s="120">
        <f t="shared" si="83"/>
        <v>0</v>
      </c>
      <c r="P381" s="120">
        <f t="shared" si="83"/>
        <v>0</v>
      </c>
      <c r="Q381" s="120">
        <f t="shared" si="83"/>
        <v>0</v>
      </c>
      <c r="R381" s="120">
        <f t="shared" si="83"/>
        <v>0</v>
      </c>
      <c r="S381" s="120">
        <f t="shared" si="83"/>
        <v>0</v>
      </c>
      <c r="T381" s="120">
        <f t="shared" si="83"/>
        <v>0</v>
      </c>
      <c r="U381" s="120">
        <f t="shared" si="83"/>
        <v>0</v>
      </c>
      <c r="V381" s="120">
        <f t="shared" si="83"/>
        <v>0</v>
      </c>
      <c r="W381" s="120">
        <f t="shared" si="83"/>
        <v>0</v>
      </c>
      <c r="X381" s="120">
        <f t="shared" si="83"/>
        <v>0</v>
      </c>
      <c r="Y381" s="120">
        <f t="shared" si="83"/>
        <v>0</v>
      </c>
      <c r="Z381" s="120">
        <f t="shared" si="83"/>
        <v>0</v>
      </c>
      <c r="AA381" s="74">
        <v>1630</v>
      </c>
      <c r="AB381" s="74">
        <v>1956</v>
      </c>
      <c r="AC381" s="75" t="str">
        <f t="shared" si="44"/>
        <v>WITHIN 5D</v>
      </c>
      <c r="AD381" s="2"/>
    </row>
    <row r="382" spans="2:30" x14ac:dyDescent="0.35">
      <c r="B382" s="47" t="s">
        <v>324</v>
      </c>
      <c r="C382" s="48">
        <f t="shared" si="41"/>
        <v>0</v>
      </c>
      <c r="D382" s="48"/>
      <c r="E382" s="63"/>
      <c r="F382" s="120">
        <f t="shared" ref="F382:Z382" si="84">F279</f>
        <v>0</v>
      </c>
      <c r="G382" s="120">
        <f t="shared" si="84"/>
        <v>0</v>
      </c>
      <c r="H382" s="120">
        <f t="shared" si="84"/>
        <v>0</v>
      </c>
      <c r="I382" s="120">
        <f t="shared" si="84"/>
        <v>0</v>
      </c>
      <c r="J382" s="120">
        <f t="shared" si="84"/>
        <v>0</v>
      </c>
      <c r="K382" s="120">
        <f t="shared" si="84"/>
        <v>0</v>
      </c>
      <c r="L382" s="120">
        <f t="shared" si="84"/>
        <v>0</v>
      </c>
      <c r="M382" s="120">
        <f t="shared" si="84"/>
        <v>0</v>
      </c>
      <c r="N382" s="120">
        <f t="shared" si="84"/>
        <v>0</v>
      </c>
      <c r="O382" s="120">
        <f t="shared" si="84"/>
        <v>0</v>
      </c>
      <c r="P382" s="120">
        <f t="shared" si="84"/>
        <v>0</v>
      </c>
      <c r="Q382" s="120">
        <f t="shared" si="84"/>
        <v>0</v>
      </c>
      <c r="R382" s="120">
        <f t="shared" si="84"/>
        <v>0</v>
      </c>
      <c r="S382" s="120">
        <f t="shared" si="84"/>
        <v>0</v>
      </c>
      <c r="T382" s="120">
        <f t="shared" si="84"/>
        <v>0</v>
      </c>
      <c r="U382" s="120">
        <f t="shared" si="84"/>
        <v>0</v>
      </c>
      <c r="V382" s="120">
        <f t="shared" si="84"/>
        <v>0</v>
      </c>
      <c r="W382" s="120">
        <f t="shared" si="84"/>
        <v>0</v>
      </c>
      <c r="X382" s="120">
        <f t="shared" si="84"/>
        <v>0</v>
      </c>
      <c r="Y382" s="120">
        <f t="shared" si="84"/>
        <v>0</v>
      </c>
      <c r="Z382" s="120">
        <f t="shared" si="84"/>
        <v>0</v>
      </c>
      <c r="AA382" s="74"/>
      <c r="AB382" s="74"/>
      <c r="AC382" s="75" t="str">
        <f t="shared" si="44"/>
        <v>WITHIN 5D</v>
      </c>
      <c r="AD382" s="2"/>
    </row>
    <row r="383" spans="2:30" x14ac:dyDescent="0.35">
      <c r="B383" s="47" t="s">
        <v>194</v>
      </c>
      <c r="C383" s="48">
        <f t="shared" si="41"/>
        <v>83</v>
      </c>
      <c r="D383" s="48"/>
      <c r="E383" s="63"/>
      <c r="F383" s="120">
        <f t="shared" ref="F383:Z383" si="85">SUM(F271,F272,F273,F274,F275,F276,F277,F278)</f>
        <v>83</v>
      </c>
      <c r="G383" s="120">
        <f t="shared" si="85"/>
        <v>0</v>
      </c>
      <c r="H383" s="120">
        <f t="shared" si="85"/>
        <v>0</v>
      </c>
      <c r="I383" s="120">
        <f t="shared" si="85"/>
        <v>0</v>
      </c>
      <c r="J383" s="120">
        <f t="shared" si="85"/>
        <v>0</v>
      </c>
      <c r="K383" s="120">
        <f t="shared" si="85"/>
        <v>0</v>
      </c>
      <c r="L383" s="120">
        <f t="shared" si="85"/>
        <v>0</v>
      </c>
      <c r="M383" s="120">
        <f t="shared" si="85"/>
        <v>0</v>
      </c>
      <c r="N383" s="120">
        <f t="shared" si="85"/>
        <v>0</v>
      </c>
      <c r="O383" s="120">
        <f t="shared" si="85"/>
        <v>0</v>
      </c>
      <c r="P383" s="120">
        <f t="shared" si="85"/>
        <v>0</v>
      </c>
      <c r="Q383" s="120">
        <f t="shared" si="85"/>
        <v>0</v>
      </c>
      <c r="R383" s="120">
        <f t="shared" si="85"/>
        <v>0</v>
      </c>
      <c r="S383" s="120">
        <f t="shared" si="85"/>
        <v>0</v>
      </c>
      <c r="T383" s="120">
        <f t="shared" si="85"/>
        <v>0</v>
      </c>
      <c r="U383" s="120">
        <f t="shared" si="85"/>
        <v>0</v>
      </c>
      <c r="V383" s="120">
        <f t="shared" si="85"/>
        <v>0</v>
      </c>
      <c r="W383" s="120">
        <f t="shared" si="85"/>
        <v>0</v>
      </c>
      <c r="X383" s="120">
        <f t="shared" si="85"/>
        <v>0</v>
      </c>
      <c r="Y383" s="120">
        <f t="shared" si="85"/>
        <v>0</v>
      </c>
      <c r="Z383" s="120">
        <f t="shared" si="85"/>
        <v>0</v>
      </c>
      <c r="AA383" s="74">
        <v>1630</v>
      </c>
      <c r="AB383" s="74">
        <v>1956</v>
      </c>
      <c r="AC383" s="75" t="str">
        <f t="shared" si="44"/>
        <v>WITHIN 5D</v>
      </c>
      <c r="AD383" s="2"/>
    </row>
    <row r="384" spans="2:30" x14ac:dyDescent="0.35">
      <c r="B384" s="47" t="s">
        <v>222</v>
      </c>
      <c r="C384" s="48">
        <f t="shared" si="41"/>
        <v>0</v>
      </c>
      <c r="D384" s="48"/>
      <c r="E384" s="63"/>
      <c r="F384" s="120">
        <f t="shared" ref="F384:Z384" si="86">SUM(F281,F282,F283)</f>
        <v>0</v>
      </c>
      <c r="G384" s="120">
        <f t="shared" si="86"/>
        <v>0</v>
      </c>
      <c r="H384" s="120">
        <f t="shared" si="86"/>
        <v>0</v>
      </c>
      <c r="I384" s="120">
        <f t="shared" si="86"/>
        <v>0</v>
      </c>
      <c r="J384" s="120">
        <f t="shared" si="86"/>
        <v>0</v>
      </c>
      <c r="K384" s="120">
        <f t="shared" si="86"/>
        <v>0</v>
      </c>
      <c r="L384" s="120">
        <f t="shared" si="86"/>
        <v>0</v>
      </c>
      <c r="M384" s="120">
        <f t="shared" si="86"/>
        <v>0</v>
      </c>
      <c r="N384" s="120">
        <f t="shared" si="86"/>
        <v>0</v>
      </c>
      <c r="O384" s="120">
        <f t="shared" si="86"/>
        <v>0</v>
      </c>
      <c r="P384" s="120">
        <f t="shared" si="86"/>
        <v>0</v>
      </c>
      <c r="Q384" s="120">
        <f t="shared" si="86"/>
        <v>0</v>
      </c>
      <c r="R384" s="120">
        <f t="shared" si="86"/>
        <v>0</v>
      </c>
      <c r="S384" s="120">
        <f t="shared" si="86"/>
        <v>0</v>
      </c>
      <c r="T384" s="120">
        <f t="shared" si="86"/>
        <v>0</v>
      </c>
      <c r="U384" s="120">
        <f t="shared" si="86"/>
        <v>0</v>
      </c>
      <c r="V384" s="120">
        <f t="shared" si="86"/>
        <v>0</v>
      </c>
      <c r="W384" s="120">
        <f t="shared" si="86"/>
        <v>0</v>
      </c>
      <c r="X384" s="120">
        <f t="shared" si="86"/>
        <v>0</v>
      </c>
      <c r="Y384" s="120">
        <f t="shared" si="86"/>
        <v>0</v>
      </c>
      <c r="Z384" s="120">
        <f t="shared" si="86"/>
        <v>0</v>
      </c>
      <c r="AA384" s="74">
        <v>1630</v>
      </c>
      <c r="AB384" s="74">
        <v>1956</v>
      </c>
      <c r="AC384" s="75" t="str">
        <f t="shared" si="44"/>
        <v>WITHIN 5D</v>
      </c>
      <c r="AD384" s="2"/>
    </row>
    <row r="385" spans="2:33" x14ac:dyDescent="0.35">
      <c r="B385" s="47" t="s">
        <v>325</v>
      </c>
      <c r="C385" s="48">
        <f t="shared" si="41"/>
        <v>0</v>
      </c>
      <c r="D385" s="48"/>
      <c r="E385" s="63"/>
      <c r="F385" s="120">
        <f t="shared" ref="F385:Z385" si="87">F280</f>
        <v>0</v>
      </c>
      <c r="G385" s="120">
        <f t="shared" si="87"/>
        <v>0</v>
      </c>
      <c r="H385" s="120">
        <f t="shared" si="87"/>
        <v>0</v>
      </c>
      <c r="I385" s="120">
        <f t="shared" si="87"/>
        <v>0</v>
      </c>
      <c r="J385" s="120">
        <f t="shared" si="87"/>
        <v>0</v>
      </c>
      <c r="K385" s="120">
        <f t="shared" si="87"/>
        <v>0</v>
      </c>
      <c r="L385" s="120">
        <f t="shared" si="87"/>
        <v>0</v>
      </c>
      <c r="M385" s="120">
        <f t="shared" si="87"/>
        <v>0</v>
      </c>
      <c r="N385" s="120">
        <f t="shared" si="87"/>
        <v>0</v>
      </c>
      <c r="O385" s="120">
        <f t="shared" si="87"/>
        <v>0</v>
      </c>
      <c r="P385" s="120">
        <f t="shared" si="87"/>
        <v>0</v>
      </c>
      <c r="Q385" s="120">
        <f t="shared" si="87"/>
        <v>0</v>
      </c>
      <c r="R385" s="120">
        <f t="shared" si="87"/>
        <v>0</v>
      </c>
      <c r="S385" s="120">
        <f t="shared" si="87"/>
        <v>0</v>
      </c>
      <c r="T385" s="120">
        <f t="shared" si="87"/>
        <v>0</v>
      </c>
      <c r="U385" s="120">
        <f t="shared" si="87"/>
        <v>0</v>
      </c>
      <c r="V385" s="120">
        <f t="shared" si="87"/>
        <v>0</v>
      </c>
      <c r="W385" s="120">
        <f t="shared" si="87"/>
        <v>0</v>
      </c>
      <c r="X385" s="120">
        <f t="shared" si="87"/>
        <v>0</v>
      </c>
      <c r="Y385" s="120">
        <f t="shared" si="87"/>
        <v>0</v>
      </c>
      <c r="Z385" s="120">
        <f t="shared" si="87"/>
        <v>0</v>
      </c>
      <c r="AA385" s="74"/>
      <c r="AB385" s="74"/>
      <c r="AC385" s="75" t="str">
        <f t="shared" si="44"/>
        <v>WITHIN 5D</v>
      </c>
      <c r="AD385" s="2"/>
    </row>
    <row r="386" spans="2:33" x14ac:dyDescent="0.35">
      <c r="B386" s="47" t="s">
        <v>154</v>
      </c>
      <c r="C386" s="48">
        <f t="shared" si="41"/>
        <v>0</v>
      </c>
      <c r="D386" s="48"/>
      <c r="E386" s="63"/>
      <c r="F386" s="120">
        <f t="shared" ref="F386:Z386" si="88">SUM(F179,F183)</f>
        <v>0</v>
      </c>
      <c r="G386" s="120">
        <f t="shared" si="88"/>
        <v>0</v>
      </c>
      <c r="H386" s="120">
        <f t="shared" si="88"/>
        <v>0</v>
      </c>
      <c r="I386" s="120">
        <f t="shared" si="88"/>
        <v>0</v>
      </c>
      <c r="J386" s="120">
        <f t="shared" si="88"/>
        <v>0</v>
      </c>
      <c r="K386" s="120">
        <f t="shared" si="88"/>
        <v>0</v>
      </c>
      <c r="L386" s="120">
        <f t="shared" si="88"/>
        <v>0</v>
      </c>
      <c r="M386" s="120">
        <f t="shared" si="88"/>
        <v>0</v>
      </c>
      <c r="N386" s="120">
        <f t="shared" si="88"/>
        <v>0</v>
      </c>
      <c r="O386" s="120">
        <f t="shared" si="88"/>
        <v>0</v>
      </c>
      <c r="P386" s="120">
        <f t="shared" si="88"/>
        <v>0</v>
      </c>
      <c r="Q386" s="120">
        <f t="shared" si="88"/>
        <v>0</v>
      </c>
      <c r="R386" s="120">
        <f t="shared" si="88"/>
        <v>0</v>
      </c>
      <c r="S386" s="120">
        <f t="shared" si="88"/>
        <v>0</v>
      </c>
      <c r="T386" s="120">
        <f t="shared" si="88"/>
        <v>0</v>
      </c>
      <c r="U386" s="120">
        <f t="shared" si="88"/>
        <v>0</v>
      </c>
      <c r="V386" s="120">
        <f t="shared" si="88"/>
        <v>0</v>
      </c>
      <c r="W386" s="120">
        <f t="shared" si="88"/>
        <v>0</v>
      </c>
      <c r="X386" s="120">
        <f t="shared" si="88"/>
        <v>0</v>
      </c>
      <c r="Y386" s="120">
        <f t="shared" si="88"/>
        <v>0</v>
      </c>
      <c r="Z386" s="120">
        <f t="shared" si="88"/>
        <v>0</v>
      </c>
      <c r="AA386" s="74">
        <v>3260</v>
      </c>
      <c r="AB386" s="74">
        <v>3912</v>
      </c>
      <c r="AC386" s="75" t="str">
        <f t="shared" si="44"/>
        <v>WITHIN 5D</v>
      </c>
      <c r="AD386" s="2"/>
    </row>
    <row r="387" spans="2:33" x14ac:dyDescent="0.35">
      <c r="B387" s="47" t="s">
        <v>223</v>
      </c>
      <c r="C387" s="48">
        <f t="shared" si="41"/>
        <v>612</v>
      </c>
      <c r="D387" s="48"/>
      <c r="E387" s="63"/>
      <c r="F387" s="120">
        <f t="shared" ref="F387:Z387" si="89">SUM(F82,F83,F180,F328)</f>
        <v>153</v>
      </c>
      <c r="G387" s="120">
        <f t="shared" si="89"/>
        <v>0</v>
      </c>
      <c r="H387" s="120">
        <f t="shared" si="89"/>
        <v>0</v>
      </c>
      <c r="I387" s="120">
        <f t="shared" si="89"/>
        <v>153</v>
      </c>
      <c r="J387" s="120">
        <f t="shared" si="89"/>
        <v>0</v>
      </c>
      <c r="K387" s="120">
        <f t="shared" si="89"/>
        <v>0</v>
      </c>
      <c r="L387" s="120">
        <f t="shared" si="89"/>
        <v>153</v>
      </c>
      <c r="M387" s="120">
        <f t="shared" si="89"/>
        <v>0</v>
      </c>
      <c r="N387" s="120">
        <f t="shared" si="89"/>
        <v>0</v>
      </c>
      <c r="O387" s="120">
        <f t="shared" si="89"/>
        <v>0</v>
      </c>
      <c r="P387" s="120">
        <f t="shared" si="89"/>
        <v>0</v>
      </c>
      <c r="Q387" s="120">
        <f t="shared" si="89"/>
        <v>0</v>
      </c>
      <c r="R387" s="120">
        <f t="shared" si="89"/>
        <v>153</v>
      </c>
      <c r="S387" s="120">
        <f t="shared" si="89"/>
        <v>0</v>
      </c>
      <c r="T387" s="120">
        <f t="shared" si="89"/>
        <v>0</v>
      </c>
      <c r="U387" s="120">
        <f t="shared" si="89"/>
        <v>0</v>
      </c>
      <c r="V387" s="120">
        <f t="shared" si="89"/>
        <v>0</v>
      </c>
      <c r="W387" s="120">
        <f t="shared" si="89"/>
        <v>0</v>
      </c>
      <c r="X387" s="120">
        <f t="shared" si="89"/>
        <v>0</v>
      </c>
      <c r="Y387" s="120">
        <f t="shared" si="89"/>
        <v>0</v>
      </c>
      <c r="Z387" s="120">
        <f t="shared" si="89"/>
        <v>0</v>
      </c>
      <c r="AA387" s="74">
        <v>9781</v>
      </c>
      <c r="AB387" s="74">
        <v>11737</v>
      </c>
      <c r="AC387" s="75" t="str">
        <f t="shared" si="44"/>
        <v>WITHIN 5D</v>
      </c>
      <c r="AD387" s="2"/>
    </row>
    <row r="388" spans="2:33" x14ac:dyDescent="0.35">
      <c r="B388" s="47" t="s">
        <v>151</v>
      </c>
      <c r="C388" s="48">
        <f t="shared" si="41"/>
        <v>0</v>
      </c>
      <c r="D388" s="48"/>
      <c r="E388" s="63"/>
      <c r="F388" s="120">
        <f t="shared" ref="F388:Z388" si="90">SUM(F181,F184,F185)</f>
        <v>0</v>
      </c>
      <c r="G388" s="120">
        <f t="shared" si="90"/>
        <v>0</v>
      </c>
      <c r="H388" s="120">
        <f t="shared" si="90"/>
        <v>0</v>
      </c>
      <c r="I388" s="120">
        <f t="shared" si="90"/>
        <v>0</v>
      </c>
      <c r="J388" s="120">
        <f t="shared" si="90"/>
        <v>0</v>
      </c>
      <c r="K388" s="120">
        <f t="shared" si="90"/>
        <v>0</v>
      </c>
      <c r="L388" s="120">
        <f t="shared" si="90"/>
        <v>0</v>
      </c>
      <c r="M388" s="120">
        <f t="shared" si="90"/>
        <v>0</v>
      </c>
      <c r="N388" s="120">
        <f t="shared" si="90"/>
        <v>0</v>
      </c>
      <c r="O388" s="120">
        <f t="shared" si="90"/>
        <v>0</v>
      </c>
      <c r="P388" s="120">
        <f t="shared" si="90"/>
        <v>0</v>
      </c>
      <c r="Q388" s="120">
        <f t="shared" si="90"/>
        <v>0</v>
      </c>
      <c r="R388" s="120">
        <f t="shared" si="90"/>
        <v>0</v>
      </c>
      <c r="S388" s="120">
        <f t="shared" si="90"/>
        <v>0</v>
      </c>
      <c r="T388" s="120">
        <f t="shared" si="90"/>
        <v>0</v>
      </c>
      <c r="U388" s="120">
        <f t="shared" si="90"/>
        <v>0</v>
      </c>
      <c r="V388" s="120">
        <f t="shared" si="90"/>
        <v>0</v>
      </c>
      <c r="W388" s="120">
        <f t="shared" si="90"/>
        <v>0</v>
      </c>
      <c r="X388" s="120">
        <f t="shared" si="90"/>
        <v>0</v>
      </c>
      <c r="Y388" s="120">
        <f t="shared" si="90"/>
        <v>0</v>
      </c>
      <c r="Z388" s="120">
        <f t="shared" si="90"/>
        <v>0</v>
      </c>
      <c r="AA388" s="74">
        <v>3260</v>
      </c>
      <c r="AB388" s="74">
        <v>3912</v>
      </c>
      <c r="AC388" s="75" t="str">
        <f t="shared" si="44"/>
        <v>WITHIN 5D</v>
      </c>
      <c r="AD388" s="2"/>
    </row>
    <row r="389" spans="2:33" x14ac:dyDescent="0.35">
      <c r="B389" s="47" t="s">
        <v>224</v>
      </c>
      <c r="C389" s="48">
        <f t="shared" si="41"/>
        <v>0</v>
      </c>
      <c r="D389" s="48"/>
      <c r="E389" s="63"/>
      <c r="F389" s="120">
        <f t="shared" ref="F389:Z389" si="91">SUM(F125,F175,F182,F186,F187,F188,F189,F190,F319,F327)</f>
        <v>0</v>
      </c>
      <c r="G389" s="120">
        <f t="shared" si="91"/>
        <v>0</v>
      </c>
      <c r="H389" s="120">
        <f t="shared" si="91"/>
        <v>0</v>
      </c>
      <c r="I389" s="120">
        <f t="shared" si="91"/>
        <v>0</v>
      </c>
      <c r="J389" s="120">
        <f t="shared" si="91"/>
        <v>0</v>
      </c>
      <c r="K389" s="120">
        <f t="shared" si="91"/>
        <v>0</v>
      </c>
      <c r="L389" s="120">
        <f t="shared" si="91"/>
        <v>0</v>
      </c>
      <c r="M389" s="120">
        <f t="shared" si="91"/>
        <v>0</v>
      </c>
      <c r="N389" s="120">
        <f t="shared" si="91"/>
        <v>0</v>
      </c>
      <c r="O389" s="120">
        <f t="shared" si="91"/>
        <v>0</v>
      </c>
      <c r="P389" s="120">
        <f t="shared" si="91"/>
        <v>0</v>
      </c>
      <c r="Q389" s="120">
        <f t="shared" si="91"/>
        <v>0</v>
      </c>
      <c r="R389" s="120">
        <f t="shared" si="91"/>
        <v>0</v>
      </c>
      <c r="S389" s="120">
        <f t="shared" si="91"/>
        <v>0</v>
      </c>
      <c r="T389" s="120">
        <f t="shared" si="91"/>
        <v>0</v>
      </c>
      <c r="U389" s="120">
        <f t="shared" si="91"/>
        <v>0</v>
      </c>
      <c r="V389" s="120">
        <f t="shared" si="91"/>
        <v>0</v>
      </c>
      <c r="W389" s="120">
        <f t="shared" si="91"/>
        <v>0</v>
      </c>
      <c r="X389" s="120">
        <f t="shared" si="91"/>
        <v>0</v>
      </c>
      <c r="Y389" s="120">
        <f t="shared" si="91"/>
        <v>0</v>
      </c>
      <c r="Z389" s="120">
        <f t="shared" si="91"/>
        <v>0</v>
      </c>
      <c r="AA389" s="74">
        <v>9781</v>
      </c>
      <c r="AB389" s="74">
        <v>11737</v>
      </c>
      <c r="AC389" s="75" t="str">
        <f t="shared" si="44"/>
        <v>WITHIN 5D</v>
      </c>
      <c r="AD389" s="2"/>
    </row>
    <row r="390" spans="2:33" x14ac:dyDescent="0.35">
      <c r="B390" s="47" t="s">
        <v>50</v>
      </c>
      <c r="C390" s="48">
        <f t="shared" si="41"/>
        <v>0</v>
      </c>
      <c r="D390" s="48"/>
      <c r="E390" s="63"/>
      <c r="F390" s="120">
        <f t="shared" ref="F390:Z390" si="92">SUM(F38,F39,F40,F41)</f>
        <v>0</v>
      </c>
      <c r="G390" s="120">
        <f t="shared" si="92"/>
        <v>0</v>
      </c>
      <c r="H390" s="120">
        <f t="shared" si="92"/>
        <v>0</v>
      </c>
      <c r="I390" s="120">
        <f t="shared" si="92"/>
        <v>0</v>
      </c>
      <c r="J390" s="120">
        <f t="shared" si="92"/>
        <v>0</v>
      </c>
      <c r="K390" s="120">
        <f t="shared" si="92"/>
        <v>0</v>
      </c>
      <c r="L390" s="120">
        <f t="shared" si="92"/>
        <v>0</v>
      </c>
      <c r="M390" s="120">
        <f t="shared" si="92"/>
        <v>0</v>
      </c>
      <c r="N390" s="120">
        <f t="shared" si="92"/>
        <v>0</v>
      </c>
      <c r="O390" s="120">
        <f t="shared" si="92"/>
        <v>0</v>
      </c>
      <c r="P390" s="120">
        <f t="shared" si="92"/>
        <v>0</v>
      </c>
      <c r="Q390" s="120">
        <f t="shared" si="92"/>
        <v>0</v>
      </c>
      <c r="R390" s="120">
        <f t="shared" si="92"/>
        <v>0</v>
      </c>
      <c r="S390" s="120">
        <f t="shared" si="92"/>
        <v>0</v>
      </c>
      <c r="T390" s="120">
        <f t="shared" si="92"/>
        <v>0</v>
      </c>
      <c r="U390" s="120">
        <f t="shared" si="92"/>
        <v>0</v>
      </c>
      <c r="V390" s="120">
        <f t="shared" si="92"/>
        <v>0</v>
      </c>
      <c r="W390" s="120">
        <f t="shared" si="92"/>
        <v>0</v>
      </c>
      <c r="X390" s="120">
        <f t="shared" si="92"/>
        <v>0</v>
      </c>
      <c r="Y390" s="120">
        <f t="shared" si="92"/>
        <v>0</v>
      </c>
      <c r="Z390" s="120">
        <f t="shared" si="92"/>
        <v>0</v>
      </c>
      <c r="AA390" s="74">
        <v>3260</v>
      </c>
      <c r="AB390" s="74">
        <v>3912</v>
      </c>
      <c r="AC390" s="75" t="str">
        <f t="shared" si="44"/>
        <v>WITHIN 5D</v>
      </c>
      <c r="AD390" s="2"/>
    </row>
    <row r="391" spans="2:33" x14ac:dyDescent="0.35">
      <c r="B391" s="47" t="s">
        <v>225</v>
      </c>
      <c r="C391" s="48">
        <f t="shared" si="41"/>
        <v>0</v>
      </c>
      <c r="D391" s="48"/>
      <c r="E391" s="63"/>
      <c r="F391" s="120">
        <f t="shared" ref="F391:Z391" si="93">SUM(F42,F43,F118,F120,F121,F122,F123,F124,F126,F127,F128,F129,F130,F191,F197,F323)</f>
        <v>0</v>
      </c>
      <c r="G391" s="120">
        <f t="shared" si="93"/>
        <v>0</v>
      </c>
      <c r="H391" s="120">
        <f t="shared" si="93"/>
        <v>0</v>
      </c>
      <c r="I391" s="120">
        <f t="shared" si="93"/>
        <v>0</v>
      </c>
      <c r="J391" s="120">
        <f t="shared" si="93"/>
        <v>0</v>
      </c>
      <c r="K391" s="120">
        <f t="shared" si="93"/>
        <v>0</v>
      </c>
      <c r="L391" s="120">
        <f t="shared" si="93"/>
        <v>0</v>
      </c>
      <c r="M391" s="120">
        <f t="shared" si="93"/>
        <v>0</v>
      </c>
      <c r="N391" s="120">
        <f t="shared" si="93"/>
        <v>0</v>
      </c>
      <c r="O391" s="120">
        <f t="shared" si="93"/>
        <v>0</v>
      </c>
      <c r="P391" s="120">
        <f t="shared" si="93"/>
        <v>0</v>
      </c>
      <c r="Q391" s="120">
        <f t="shared" si="93"/>
        <v>0</v>
      </c>
      <c r="R391" s="120">
        <f t="shared" si="93"/>
        <v>0</v>
      </c>
      <c r="S391" s="120">
        <f t="shared" si="93"/>
        <v>0</v>
      </c>
      <c r="T391" s="120">
        <f t="shared" si="93"/>
        <v>0</v>
      </c>
      <c r="U391" s="120">
        <f t="shared" si="93"/>
        <v>0</v>
      </c>
      <c r="V391" s="120">
        <f t="shared" si="93"/>
        <v>0</v>
      </c>
      <c r="W391" s="120">
        <f t="shared" si="93"/>
        <v>0</v>
      </c>
      <c r="X391" s="120">
        <f t="shared" si="93"/>
        <v>0</v>
      </c>
      <c r="Y391" s="120">
        <f t="shared" si="93"/>
        <v>0</v>
      </c>
      <c r="Z391" s="120">
        <f t="shared" si="93"/>
        <v>0</v>
      </c>
      <c r="AA391" s="74">
        <v>3260</v>
      </c>
      <c r="AB391" s="74">
        <v>3912</v>
      </c>
      <c r="AC391" s="75" t="str">
        <f t="shared" si="44"/>
        <v>WITHIN 5D</v>
      </c>
      <c r="AD391" s="2"/>
    </row>
    <row r="392" spans="2:33" x14ac:dyDescent="0.35">
      <c r="B392" s="47" t="s">
        <v>49</v>
      </c>
      <c r="C392" s="48">
        <f t="shared" si="41"/>
        <v>0</v>
      </c>
      <c r="D392" s="48"/>
      <c r="E392" s="63"/>
      <c r="F392" s="120">
        <f t="shared" ref="F392:Z392" si="94">SUM(F115,F116,F117,F119)</f>
        <v>0</v>
      </c>
      <c r="G392" s="120">
        <f t="shared" si="94"/>
        <v>0</v>
      </c>
      <c r="H392" s="120">
        <f t="shared" si="94"/>
        <v>0</v>
      </c>
      <c r="I392" s="120">
        <f t="shared" si="94"/>
        <v>0</v>
      </c>
      <c r="J392" s="120">
        <f t="shared" si="94"/>
        <v>0</v>
      </c>
      <c r="K392" s="120">
        <f t="shared" si="94"/>
        <v>0</v>
      </c>
      <c r="L392" s="120">
        <f t="shared" si="94"/>
        <v>0</v>
      </c>
      <c r="M392" s="120">
        <f t="shared" si="94"/>
        <v>0</v>
      </c>
      <c r="N392" s="120">
        <f t="shared" si="94"/>
        <v>0</v>
      </c>
      <c r="O392" s="120">
        <f t="shared" si="94"/>
        <v>0</v>
      </c>
      <c r="P392" s="120">
        <f t="shared" si="94"/>
        <v>0</v>
      </c>
      <c r="Q392" s="120">
        <f>SUM(Q115,Q116,Q117,Q119)</f>
        <v>0</v>
      </c>
      <c r="R392" s="120">
        <f t="shared" si="94"/>
        <v>0</v>
      </c>
      <c r="S392" s="120">
        <f t="shared" si="94"/>
        <v>0</v>
      </c>
      <c r="T392" s="120">
        <f t="shared" si="94"/>
        <v>0</v>
      </c>
      <c r="U392" s="120">
        <f t="shared" si="94"/>
        <v>0</v>
      </c>
      <c r="V392" s="120">
        <f t="shared" si="94"/>
        <v>0</v>
      </c>
      <c r="W392" s="120">
        <f t="shared" si="94"/>
        <v>0</v>
      </c>
      <c r="X392" s="120">
        <f t="shared" si="94"/>
        <v>0</v>
      </c>
      <c r="Y392" s="120">
        <f t="shared" si="94"/>
        <v>0</v>
      </c>
      <c r="Z392" s="120">
        <f t="shared" si="94"/>
        <v>0</v>
      </c>
      <c r="AA392" s="74">
        <v>3260</v>
      </c>
      <c r="AB392" s="74">
        <v>3912</v>
      </c>
      <c r="AC392" s="75" t="str">
        <f t="shared" si="44"/>
        <v>WITHIN 5D</v>
      </c>
      <c r="AD392" s="2"/>
    </row>
    <row r="393" spans="2:33" x14ac:dyDescent="0.35">
      <c r="B393" s="47" t="s">
        <v>36</v>
      </c>
      <c r="C393" s="48">
        <f t="shared" si="41"/>
        <v>0</v>
      </c>
      <c r="D393" s="48"/>
      <c r="E393" s="63"/>
      <c r="F393" s="120">
        <f t="shared" ref="F393:Z393" si="95">SUM(F26,F27,F28,F29)</f>
        <v>0</v>
      </c>
      <c r="G393" s="120">
        <f t="shared" si="95"/>
        <v>0</v>
      </c>
      <c r="H393" s="120">
        <f t="shared" si="95"/>
        <v>0</v>
      </c>
      <c r="I393" s="120">
        <f t="shared" si="95"/>
        <v>0</v>
      </c>
      <c r="J393" s="120">
        <f t="shared" si="95"/>
        <v>0</v>
      </c>
      <c r="K393" s="120">
        <f t="shared" si="95"/>
        <v>0</v>
      </c>
      <c r="L393" s="120">
        <f t="shared" si="95"/>
        <v>0</v>
      </c>
      <c r="M393" s="120">
        <f t="shared" si="95"/>
        <v>0</v>
      </c>
      <c r="N393" s="120">
        <f t="shared" si="95"/>
        <v>0</v>
      </c>
      <c r="O393" s="120">
        <f t="shared" si="95"/>
        <v>0</v>
      </c>
      <c r="P393" s="120">
        <f t="shared" si="95"/>
        <v>0</v>
      </c>
      <c r="Q393" s="120">
        <f t="shared" si="95"/>
        <v>0</v>
      </c>
      <c r="R393" s="120">
        <f t="shared" si="95"/>
        <v>0</v>
      </c>
      <c r="S393" s="120">
        <f t="shared" si="95"/>
        <v>0</v>
      </c>
      <c r="T393" s="120">
        <f t="shared" si="95"/>
        <v>0</v>
      </c>
      <c r="U393" s="120">
        <f t="shared" si="95"/>
        <v>0</v>
      </c>
      <c r="V393" s="120">
        <f t="shared" si="95"/>
        <v>0</v>
      </c>
      <c r="W393" s="120">
        <f t="shared" si="95"/>
        <v>0</v>
      </c>
      <c r="X393" s="120">
        <f t="shared" si="95"/>
        <v>0</v>
      </c>
      <c r="Y393" s="120">
        <f t="shared" si="95"/>
        <v>0</v>
      </c>
      <c r="Z393" s="120">
        <f t="shared" si="95"/>
        <v>0</v>
      </c>
      <c r="AA393" s="74">
        <v>1630</v>
      </c>
      <c r="AB393" s="74">
        <v>1956</v>
      </c>
      <c r="AC393" s="75" t="str">
        <f t="shared" si="44"/>
        <v>WITHIN 5D</v>
      </c>
      <c r="AD393" s="2"/>
    </row>
    <row r="394" spans="2:33" x14ac:dyDescent="0.35">
      <c r="B394" s="85" t="s">
        <v>43</v>
      </c>
      <c r="C394" s="48">
        <f t="shared" si="41"/>
        <v>0</v>
      </c>
      <c r="D394" s="48"/>
      <c r="E394" s="63"/>
      <c r="F394" s="120">
        <f t="shared" ref="F394:Z394" si="96">SUM(F30,F31,F37)</f>
        <v>0</v>
      </c>
      <c r="G394" s="120">
        <f t="shared" si="96"/>
        <v>0</v>
      </c>
      <c r="H394" s="120">
        <f t="shared" si="96"/>
        <v>0</v>
      </c>
      <c r="I394" s="120">
        <f t="shared" si="96"/>
        <v>0</v>
      </c>
      <c r="J394" s="120">
        <f t="shared" si="96"/>
        <v>0</v>
      </c>
      <c r="K394" s="120">
        <f t="shared" si="96"/>
        <v>0</v>
      </c>
      <c r="L394" s="120">
        <f t="shared" si="96"/>
        <v>0</v>
      </c>
      <c r="M394" s="120">
        <f t="shared" si="96"/>
        <v>0</v>
      </c>
      <c r="N394" s="120">
        <f t="shared" si="96"/>
        <v>0</v>
      </c>
      <c r="O394" s="120">
        <f t="shared" si="96"/>
        <v>0</v>
      </c>
      <c r="P394" s="120">
        <f t="shared" si="96"/>
        <v>0</v>
      </c>
      <c r="Q394" s="120">
        <f t="shared" si="96"/>
        <v>0</v>
      </c>
      <c r="R394" s="120">
        <f t="shared" si="96"/>
        <v>0</v>
      </c>
      <c r="S394" s="120">
        <f t="shared" si="96"/>
        <v>0</v>
      </c>
      <c r="T394" s="120">
        <f t="shared" si="96"/>
        <v>0</v>
      </c>
      <c r="U394" s="120">
        <f t="shared" si="96"/>
        <v>0</v>
      </c>
      <c r="V394" s="120">
        <f t="shared" si="96"/>
        <v>0</v>
      </c>
      <c r="W394" s="120">
        <f t="shared" si="96"/>
        <v>0</v>
      </c>
      <c r="X394" s="120">
        <f t="shared" si="96"/>
        <v>0</v>
      </c>
      <c r="Y394" s="120">
        <f t="shared" si="96"/>
        <v>0</v>
      </c>
      <c r="Z394" s="120">
        <f t="shared" si="96"/>
        <v>0</v>
      </c>
      <c r="AA394" s="74">
        <v>1630</v>
      </c>
      <c r="AB394" s="74">
        <v>1956</v>
      </c>
      <c r="AC394" s="75" t="str">
        <f t="shared" si="44"/>
        <v>WITHIN 5D</v>
      </c>
      <c r="AD394" s="2"/>
    </row>
    <row r="395" spans="2:33" x14ac:dyDescent="0.35">
      <c r="B395" s="85" t="s">
        <v>226</v>
      </c>
      <c r="C395" s="48">
        <f t="shared" si="41"/>
        <v>0</v>
      </c>
      <c r="D395" s="48"/>
      <c r="E395" s="63"/>
      <c r="F395" s="120">
        <f t="shared" ref="F395:Z395" si="97">SUM(F22,F23,F24,F25,F32,F33,F34,F35,F36,F44)</f>
        <v>0</v>
      </c>
      <c r="G395" s="120">
        <f t="shared" si="97"/>
        <v>0</v>
      </c>
      <c r="H395" s="120">
        <f t="shared" si="97"/>
        <v>0</v>
      </c>
      <c r="I395" s="120">
        <f t="shared" si="97"/>
        <v>0</v>
      </c>
      <c r="J395" s="120">
        <f t="shared" si="97"/>
        <v>0</v>
      </c>
      <c r="K395" s="120">
        <f t="shared" si="97"/>
        <v>0</v>
      </c>
      <c r="L395" s="120">
        <f t="shared" si="97"/>
        <v>0</v>
      </c>
      <c r="M395" s="120">
        <f t="shared" si="97"/>
        <v>0</v>
      </c>
      <c r="N395" s="120">
        <f t="shared" si="97"/>
        <v>0</v>
      </c>
      <c r="O395" s="120">
        <f t="shared" si="97"/>
        <v>0</v>
      </c>
      <c r="P395" s="120">
        <f t="shared" si="97"/>
        <v>0</v>
      </c>
      <c r="Q395" s="120">
        <f t="shared" si="97"/>
        <v>0</v>
      </c>
      <c r="R395" s="120">
        <f t="shared" si="97"/>
        <v>0</v>
      </c>
      <c r="S395" s="120">
        <f t="shared" si="97"/>
        <v>0</v>
      </c>
      <c r="T395" s="120">
        <f t="shared" si="97"/>
        <v>0</v>
      </c>
      <c r="U395" s="120">
        <f t="shared" si="97"/>
        <v>0</v>
      </c>
      <c r="V395" s="120">
        <f t="shared" si="97"/>
        <v>0</v>
      </c>
      <c r="W395" s="120">
        <f t="shared" si="97"/>
        <v>0</v>
      </c>
      <c r="X395" s="120">
        <f t="shared" si="97"/>
        <v>0</v>
      </c>
      <c r="Y395" s="120">
        <f t="shared" si="97"/>
        <v>0</v>
      </c>
      <c r="Z395" s="120">
        <f t="shared" si="97"/>
        <v>0</v>
      </c>
      <c r="AA395" s="74">
        <v>4890</v>
      </c>
      <c r="AB395" s="74">
        <v>5868</v>
      </c>
      <c r="AC395" s="75" t="str">
        <f t="shared" si="44"/>
        <v>WITHIN 5D</v>
      </c>
      <c r="AD395" s="2"/>
    </row>
    <row r="396" spans="2:33" x14ac:dyDescent="0.35">
      <c r="B396" s="47" t="s">
        <v>298</v>
      </c>
      <c r="C396" s="48">
        <f t="shared" si="41"/>
        <v>2144</v>
      </c>
      <c r="D396" s="48"/>
      <c r="E396" s="63"/>
      <c r="F396" s="120">
        <f t="shared" ref="F396:Z396" si="98">SUM(F173,F176)</f>
        <v>264</v>
      </c>
      <c r="G396" s="120">
        <f t="shared" si="98"/>
        <v>0</v>
      </c>
      <c r="H396" s="120">
        <f t="shared" si="98"/>
        <v>288</v>
      </c>
      <c r="I396" s="120">
        <f t="shared" si="98"/>
        <v>264</v>
      </c>
      <c r="J396" s="120">
        <f t="shared" si="98"/>
        <v>0</v>
      </c>
      <c r="K396" s="120">
        <f t="shared" si="98"/>
        <v>288</v>
      </c>
      <c r="L396" s="120">
        <f t="shared" si="98"/>
        <v>200</v>
      </c>
      <c r="M396" s="120">
        <f t="shared" si="98"/>
        <v>0</v>
      </c>
      <c r="N396" s="120">
        <f t="shared" si="98"/>
        <v>288</v>
      </c>
      <c r="O396" s="120">
        <f t="shared" si="98"/>
        <v>0</v>
      </c>
      <c r="P396" s="120">
        <f t="shared" si="98"/>
        <v>0</v>
      </c>
      <c r="Q396" s="120">
        <f t="shared" si="98"/>
        <v>0</v>
      </c>
      <c r="R396" s="120">
        <f t="shared" si="98"/>
        <v>264</v>
      </c>
      <c r="S396" s="120">
        <f t="shared" si="98"/>
        <v>0</v>
      </c>
      <c r="T396" s="120">
        <f t="shared" si="98"/>
        <v>288</v>
      </c>
      <c r="U396" s="120">
        <f t="shared" si="98"/>
        <v>0</v>
      </c>
      <c r="V396" s="120">
        <f t="shared" si="98"/>
        <v>0</v>
      </c>
      <c r="W396" s="120">
        <f t="shared" si="98"/>
        <v>0</v>
      </c>
      <c r="X396" s="120">
        <f t="shared" si="98"/>
        <v>0</v>
      </c>
      <c r="Y396" s="120">
        <f t="shared" si="98"/>
        <v>0</v>
      </c>
      <c r="Z396" s="120">
        <f t="shared" si="98"/>
        <v>0</v>
      </c>
      <c r="AA396" s="339">
        <f>652*5</f>
        <v>3260</v>
      </c>
      <c r="AB396" s="339">
        <v>3912</v>
      </c>
      <c r="AC396" s="341" t="str">
        <f>IF(SUM(C396:C397)&lt;=AA396,"WITHIN 5D",IF(SUM(C396:C397)&lt;=AB396,"WITHIN 6D","OVER CAPACITY"))</f>
        <v>WITHIN 5D</v>
      </c>
      <c r="AD396" s="2"/>
    </row>
    <row r="397" spans="2:33" x14ac:dyDescent="0.35">
      <c r="B397" s="47" t="s">
        <v>297</v>
      </c>
      <c r="C397" s="48">
        <f t="shared" si="41"/>
        <v>0</v>
      </c>
      <c r="D397" s="48"/>
      <c r="E397" s="63"/>
      <c r="F397" s="120">
        <f t="shared" ref="F397:Z397" si="99">SUM(F174,F177,F178)</f>
        <v>0</v>
      </c>
      <c r="G397" s="120">
        <f t="shared" si="99"/>
        <v>0</v>
      </c>
      <c r="H397" s="120">
        <f t="shared" si="99"/>
        <v>0</v>
      </c>
      <c r="I397" s="120">
        <f t="shared" si="99"/>
        <v>0</v>
      </c>
      <c r="J397" s="120">
        <f t="shared" si="99"/>
        <v>0</v>
      </c>
      <c r="K397" s="120">
        <f t="shared" si="99"/>
        <v>0</v>
      </c>
      <c r="L397" s="120">
        <f t="shared" si="99"/>
        <v>0</v>
      </c>
      <c r="M397" s="120">
        <f t="shared" si="99"/>
        <v>0</v>
      </c>
      <c r="N397" s="120">
        <f t="shared" si="99"/>
        <v>0</v>
      </c>
      <c r="O397" s="120">
        <f t="shared" si="99"/>
        <v>0</v>
      </c>
      <c r="P397" s="120">
        <f t="shared" si="99"/>
        <v>0</v>
      </c>
      <c r="Q397" s="120">
        <f t="shared" si="99"/>
        <v>0</v>
      </c>
      <c r="R397" s="120">
        <f t="shared" si="99"/>
        <v>0</v>
      </c>
      <c r="S397" s="120">
        <f t="shared" si="99"/>
        <v>0</v>
      </c>
      <c r="T397" s="120">
        <f t="shared" si="99"/>
        <v>0</v>
      </c>
      <c r="U397" s="120">
        <f t="shared" si="99"/>
        <v>0</v>
      </c>
      <c r="V397" s="120">
        <f t="shared" si="99"/>
        <v>0</v>
      </c>
      <c r="W397" s="120">
        <f t="shared" si="99"/>
        <v>0</v>
      </c>
      <c r="X397" s="120">
        <f t="shared" si="99"/>
        <v>0</v>
      </c>
      <c r="Y397" s="120">
        <f t="shared" si="99"/>
        <v>0</v>
      </c>
      <c r="Z397" s="120">
        <f t="shared" si="99"/>
        <v>0</v>
      </c>
      <c r="AA397" s="340"/>
      <c r="AB397" s="340"/>
      <c r="AC397" s="342"/>
      <c r="AD397" s="2"/>
    </row>
    <row r="398" spans="2:33" x14ac:dyDescent="0.35">
      <c r="B398" s="47" t="s">
        <v>384</v>
      </c>
      <c r="C398" s="48">
        <f t="shared" si="41"/>
        <v>0</v>
      </c>
      <c r="D398" s="48"/>
      <c r="E398" s="63"/>
      <c r="F398" s="120">
        <f t="shared" ref="F398:Z398" si="100">F13</f>
        <v>0</v>
      </c>
      <c r="G398" s="120">
        <f t="shared" si="100"/>
        <v>0</v>
      </c>
      <c r="H398" s="120">
        <f t="shared" si="100"/>
        <v>0</v>
      </c>
      <c r="I398" s="120">
        <f t="shared" si="100"/>
        <v>0</v>
      </c>
      <c r="J398" s="120">
        <f t="shared" si="100"/>
        <v>0</v>
      </c>
      <c r="K398" s="120">
        <f t="shared" si="100"/>
        <v>0</v>
      </c>
      <c r="L398" s="120">
        <f t="shared" si="100"/>
        <v>0</v>
      </c>
      <c r="M398" s="120">
        <f t="shared" si="100"/>
        <v>0</v>
      </c>
      <c r="N398" s="120">
        <f t="shared" si="100"/>
        <v>0</v>
      </c>
      <c r="O398" s="120">
        <f t="shared" si="100"/>
        <v>0</v>
      </c>
      <c r="P398" s="120">
        <f t="shared" si="100"/>
        <v>0</v>
      </c>
      <c r="Q398" s="120">
        <f t="shared" si="100"/>
        <v>0</v>
      </c>
      <c r="R398" s="120">
        <f t="shared" si="100"/>
        <v>0</v>
      </c>
      <c r="S398" s="120">
        <f t="shared" si="100"/>
        <v>0</v>
      </c>
      <c r="T398" s="120">
        <f t="shared" si="100"/>
        <v>0</v>
      </c>
      <c r="U398" s="120">
        <f t="shared" si="100"/>
        <v>0</v>
      </c>
      <c r="V398" s="120">
        <f t="shared" si="100"/>
        <v>0</v>
      </c>
      <c r="W398" s="120">
        <f t="shared" si="100"/>
        <v>0</v>
      </c>
      <c r="X398" s="120">
        <f t="shared" si="100"/>
        <v>0</v>
      </c>
      <c r="Y398" s="120">
        <f t="shared" si="100"/>
        <v>0</v>
      </c>
      <c r="Z398" s="120">
        <f t="shared" si="100"/>
        <v>0</v>
      </c>
      <c r="AA398" s="76"/>
      <c r="AB398" s="76"/>
      <c r="AC398" s="75" t="str">
        <f t="shared" si="44"/>
        <v>WITHIN 5D</v>
      </c>
      <c r="AD398" s="2"/>
    </row>
    <row r="399" spans="2:33" x14ac:dyDescent="0.35">
      <c r="B399" s="47" t="s">
        <v>385</v>
      </c>
      <c r="C399" s="48">
        <f t="shared" si="41"/>
        <v>0</v>
      </c>
      <c r="D399" s="48"/>
      <c r="E399" s="63"/>
      <c r="F399" s="120">
        <f t="shared" ref="F399:Z399" si="101">F14</f>
        <v>0</v>
      </c>
      <c r="G399" s="120">
        <f t="shared" si="101"/>
        <v>0</v>
      </c>
      <c r="H399" s="120">
        <f t="shared" si="101"/>
        <v>0</v>
      </c>
      <c r="I399" s="120">
        <f t="shared" si="101"/>
        <v>0</v>
      </c>
      <c r="J399" s="120">
        <f t="shared" si="101"/>
        <v>0</v>
      </c>
      <c r="K399" s="120">
        <f t="shared" si="101"/>
        <v>0</v>
      </c>
      <c r="L399" s="120">
        <f t="shared" si="101"/>
        <v>0</v>
      </c>
      <c r="M399" s="120">
        <f t="shared" si="101"/>
        <v>0</v>
      </c>
      <c r="N399" s="120">
        <f t="shared" si="101"/>
        <v>0</v>
      </c>
      <c r="O399" s="120">
        <f t="shared" si="101"/>
        <v>0</v>
      </c>
      <c r="P399" s="120">
        <f t="shared" si="101"/>
        <v>0</v>
      </c>
      <c r="Q399" s="120">
        <f t="shared" si="101"/>
        <v>0</v>
      </c>
      <c r="R399" s="120">
        <f t="shared" si="101"/>
        <v>0</v>
      </c>
      <c r="S399" s="120">
        <f t="shared" si="101"/>
        <v>0</v>
      </c>
      <c r="T399" s="120">
        <f t="shared" si="101"/>
        <v>0</v>
      </c>
      <c r="U399" s="120">
        <f t="shared" si="101"/>
        <v>0</v>
      </c>
      <c r="V399" s="120">
        <f t="shared" si="101"/>
        <v>0</v>
      </c>
      <c r="W399" s="120">
        <f t="shared" si="101"/>
        <v>0</v>
      </c>
      <c r="X399" s="120">
        <f t="shared" si="101"/>
        <v>0</v>
      </c>
      <c r="Y399" s="120">
        <f t="shared" si="101"/>
        <v>0</v>
      </c>
      <c r="Z399" s="120">
        <f t="shared" si="101"/>
        <v>0</v>
      </c>
      <c r="AA399" s="76"/>
      <c r="AB399" s="76"/>
      <c r="AC399" s="75" t="str">
        <f t="shared" si="44"/>
        <v>WITHIN 5D</v>
      </c>
      <c r="AD399" s="2"/>
    </row>
    <row r="400" spans="2:33" x14ac:dyDescent="0.35">
      <c r="B400" s="47" t="s">
        <v>227</v>
      </c>
      <c r="C400" s="48">
        <f t="shared" si="41"/>
        <v>0</v>
      </c>
      <c r="D400" s="48"/>
      <c r="E400" s="63"/>
      <c r="F400" s="120">
        <f t="shared" ref="F400:Z400" si="102">F155</f>
        <v>0</v>
      </c>
      <c r="G400" s="120">
        <f t="shared" si="102"/>
        <v>0</v>
      </c>
      <c r="H400" s="120">
        <f t="shared" si="102"/>
        <v>0</v>
      </c>
      <c r="I400" s="120">
        <f t="shared" si="102"/>
        <v>0</v>
      </c>
      <c r="J400" s="120">
        <f t="shared" si="102"/>
        <v>0</v>
      </c>
      <c r="K400" s="120">
        <f t="shared" si="102"/>
        <v>0</v>
      </c>
      <c r="L400" s="120">
        <f t="shared" si="102"/>
        <v>0</v>
      </c>
      <c r="M400" s="120">
        <f t="shared" si="102"/>
        <v>0</v>
      </c>
      <c r="N400" s="120">
        <f t="shared" si="102"/>
        <v>0</v>
      </c>
      <c r="O400" s="120">
        <f t="shared" si="102"/>
        <v>0</v>
      </c>
      <c r="P400" s="120">
        <f t="shared" si="102"/>
        <v>0</v>
      </c>
      <c r="Q400" s="120">
        <f t="shared" si="102"/>
        <v>0</v>
      </c>
      <c r="R400" s="120">
        <f t="shared" si="102"/>
        <v>0</v>
      </c>
      <c r="S400" s="120">
        <f t="shared" si="102"/>
        <v>0</v>
      </c>
      <c r="T400" s="120">
        <f t="shared" si="102"/>
        <v>0</v>
      </c>
      <c r="U400" s="120">
        <f t="shared" si="102"/>
        <v>0</v>
      </c>
      <c r="V400" s="120">
        <f t="shared" si="102"/>
        <v>0</v>
      </c>
      <c r="W400" s="120">
        <f t="shared" si="102"/>
        <v>0</v>
      </c>
      <c r="X400" s="120">
        <f t="shared" si="102"/>
        <v>0</v>
      </c>
      <c r="Y400" s="120">
        <f t="shared" si="102"/>
        <v>0</v>
      </c>
      <c r="Z400" s="120">
        <f t="shared" si="102"/>
        <v>0</v>
      </c>
      <c r="AA400" s="74"/>
      <c r="AB400" s="74"/>
      <c r="AC400" s="75" t="str">
        <f t="shared" si="44"/>
        <v>WITHIN 5D</v>
      </c>
      <c r="AD400" s="2"/>
      <c r="AG400" s="39"/>
    </row>
    <row r="401" spans="2:33" x14ac:dyDescent="0.35">
      <c r="B401" s="47" t="s">
        <v>315</v>
      </c>
      <c r="C401" s="48">
        <f t="shared" si="41"/>
        <v>0</v>
      </c>
      <c r="D401" s="48"/>
      <c r="E401" s="63"/>
      <c r="F401" s="120">
        <f t="shared" ref="F401:Z401" si="103">F154</f>
        <v>0</v>
      </c>
      <c r="G401" s="120">
        <f t="shared" si="103"/>
        <v>0</v>
      </c>
      <c r="H401" s="120">
        <f t="shared" si="103"/>
        <v>0</v>
      </c>
      <c r="I401" s="120">
        <f t="shared" si="103"/>
        <v>0</v>
      </c>
      <c r="J401" s="120">
        <f t="shared" si="103"/>
        <v>0</v>
      </c>
      <c r="K401" s="120">
        <f t="shared" si="103"/>
        <v>0</v>
      </c>
      <c r="L401" s="120">
        <f t="shared" si="103"/>
        <v>0</v>
      </c>
      <c r="M401" s="120">
        <f t="shared" si="103"/>
        <v>0</v>
      </c>
      <c r="N401" s="120">
        <f t="shared" si="103"/>
        <v>0</v>
      </c>
      <c r="O401" s="120">
        <f t="shared" si="103"/>
        <v>0</v>
      </c>
      <c r="P401" s="120">
        <f t="shared" si="103"/>
        <v>0</v>
      </c>
      <c r="Q401" s="120">
        <f t="shared" si="103"/>
        <v>0</v>
      </c>
      <c r="R401" s="120">
        <f t="shared" si="103"/>
        <v>0</v>
      </c>
      <c r="S401" s="120">
        <f t="shared" si="103"/>
        <v>0</v>
      </c>
      <c r="T401" s="120">
        <f t="shared" si="103"/>
        <v>0</v>
      </c>
      <c r="U401" s="120">
        <f t="shared" si="103"/>
        <v>0</v>
      </c>
      <c r="V401" s="120">
        <f t="shared" si="103"/>
        <v>0</v>
      </c>
      <c r="W401" s="120">
        <f t="shared" si="103"/>
        <v>0</v>
      </c>
      <c r="X401" s="120">
        <f t="shared" si="103"/>
        <v>0</v>
      </c>
      <c r="Y401" s="120">
        <f t="shared" si="103"/>
        <v>0</v>
      </c>
      <c r="Z401" s="120">
        <f t="shared" si="103"/>
        <v>0</v>
      </c>
      <c r="AA401" s="74"/>
      <c r="AB401" s="74"/>
      <c r="AC401" s="75" t="str">
        <f t="shared" si="44"/>
        <v>WITHIN 5D</v>
      </c>
      <c r="AD401" s="2"/>
      <c r="AG401" s="39"/>
    </row>
    <row r="402" spans="2:33" x14ac:dyDescent="0.35">
      <c r="B402" s="47" t="s">
        <v>228</v>
      </c>
      <c r="C402" s="48">
        <f t="shared" si="41"/>
        <v>0</v>
      </c>
      <c r="D402" s="48"/>
      <c r="E402" s="63"/>
      <c r="F402" s="120">
        <f t="shared" ref="F402:Z402" si="104">F157</f>
        <v>0</v>
      </c>
      <c r="G402" s="120">
        <f t="shared" si="104"/>
        <v>0</v>
      </c>
      <c r="H402" s="120">
        <f t="shared" si="104"/>
        <v>0</v>
      </c>
      <c r="I402" s="120">
        <f t="shared" si="104"/>
        <v>0</v>
      </c>
      <c r="J402" s="120">
        <f t="shared" si="104"/>
        <v>0</v>
      </c>
      <c r="K402" s="120">
        <f t="shared" si="104"/>
        <v>0</v>
      </c>
      <c r="L402" s="120">
        <f t="shared" si="104"/>
        <v>0</v>
      </c>
      <c r="M402" s="120">
        <f t="shared" si="104"/>
        <v>0</v>
      </c>
      <c r="N402" s="120">
        <f t="shared" si="104"/>
        <v>0</v>
      </c>
      <c r="O402" s="120">
        <f t="shared" si="104"/>
        <v>0</v>
      </c>
      <c r="P402" s="120">
        <f t="shared" si="104"/>
        <v>0</v>
      </c>
      <c r="Q402" s="120">
        <f t="shared" si="104"/>
        <v>0</v>
      </c>
      <c r="R402" s="120">
        <f t="shared" si="104"/>
        <v>0</v>
      </c>
      <c r="S402" s="120">
        <f t="shared" si="104"/>
        <v>0</v>
      </c>
      <c r="T402" s="120">
        <f t="shared" si="104"/>
        <v>0</v>
      </c>
      <c r="U402" s="120">
        <f t="shared" si="104"/>
        <v>0</v>
      </c>
      <c r="V402" s="120">
        <f t="shared" si="104"/>
        <v>0</v>
      </c>
      <c r="W402" s="120">
        <f t="shared" si="104"/>
        <v>0</v>
      </c>
      <c r="X402" s="120">
        <f t="shared" si="104"/>
        <v>0</v>
      </c>
      <c r="Y402" s="120">
        <f t="shared" si="104"/>
        <v>0</v>
      </c>
      <c r="Z402" s="120">
        <f t="shared" si="104"/>
        <v>0</v>
      </c>
      <c r="AA402" s="74"/>
      <c r="AB402" s="74"/>
      <c r="AC402" s="75" t="str">
        <f t="shared" si="44"/>
        <v>WITHIN 5D</v>
      </c>
      <c r="AD402" s="2"/>
      <c r="AG402" s="39"/>
    </row>
    <row r="403" spans="2:33" x14ac:dyDescent="0.35">
      <c r="B403" s="47" t="s">
        <v>292</v>
      </c>
      <c r="C403" s="48">
        <f t="shared" si="41"/>
        <v>0</v>
      </c>
      <c r="D403" s="48"/>
      <c r="E403" s="63"/>
      <c r="F403" s="120">
        <f t="shared" ref="F403:Z403" si="105">F156</f>
        <v>0</v>
      </c>
      <c r="G403" s="120">
        <f t="shared" si="105"/>
        <v>0</v>
      </c>
      <c r="H403" s="120">
        <f t="shared" si="105"/>
        <v>0</v>
      </c>
      <c r="I403" s="120">
        <f t="shared" si="105"/>
        <v>0</v>
      </c>
      <c r="J403" s="120">
        <f t="shared" si="105"/>
        <v>0</v>
      </c>
      <c r="K403" s="120">
        <f t="shared" si="105"/>
        <v>0</v>
      </c>
      <c r="L403" s="120">
        <f t="shared" si="105"/>
        <v>0</v>
      </c>
      <c r="M403" s="120">
        <f t="shared" si="105"/>
        <v>0</v>
      </c>
      <c r="N403" s="120">
        <f t="shared" si="105"/>
        <v>0</v>
      </c>
      <c r="O403" s="120">
        <f t="shared" si="105"/>
        <v>0</v>
      </c>
      <c r="P403" s="120">
        <f t="shared" si="105"/>
        <v>0</v>
      </c>
      <c r="Q403" s="120">
        <f t="shared" si="105"/>
        <v>0</v>
      </c>
      <c r="R403" s="120">
        <f t="shared" si="105"/>
        <v>0</v>
      </c>
      <c r="S403" s="120">
        <f t="shared" si="105"/>
        <v>0</v>
      </c>
      <c r="T403" s="120">
        <f t="shared" si="105"/>
        <v>0</v>
      </c>
      <c r="U403" s="120">
        <f t="shared" si="105"/>
        <v>0</v>
      </c>
      <c r="V403" s="120">
        <f t="shared" si="105"/>
        <v>0</v>
      </c>
      <c r="W403" s="120">
        <f t="shared" si="105"/>
        <v>0</v>
      </c>
      <c r="X403" s="120">
        <f t="shared" si="105"/>
        <v>0</v>
      </c>
      <c r="Y403" s="120">
        <f t="shared" si="105"/>
        <v>0</v>
      </c>
      <c r="Z403" s="120">
        <f t="shared" si="105"/>
        <v>0</v>
      </c>
      <c r="AA403" s="74"/>
      <c r="AB403" s="74"/>
      <c r="AC403" s="75" t="str">
        <f t="shared" si="44"/>
        <v>WITHIN 5D</v>
      </c>
      <c r="AD403" s="2"/>
      <c r="AG403" s="39"/>
    </row>
    <row r="404" spans="2:33" x14ac:dyDescent="0.35">
      <c r="B404" s="47" t="s">
        <v>229</v>
      </c>
      <c r="C404" s="48">
        <f t="shared" si="41"/>
        <v>0</v>
      </c>
      <c r="D404" s="48"/>
      <c r="E404" s="63"/>
      <c r="F404" s="120">
        <f t="shared" ref="F404:Z404" si="106">SUM(F19,F20,F101,F102)</f>
        <v>0</v>
      </c>
      <c r="G404" s="120">
        <f t="shared" si="106"/>
        <v>0</v>
      </c>
      <c r="H404" s="120">
        <f t="shared" si="106"/>
        <v>0</v>
      </c>
      <c r="I404" s="120">
        <f t="shared" si="106"/>
        <v>0</v>
      </c>
      <c r="J404" s="120">
        <f t="shared" si="106"/>
        <v>0</v>
      </c>
      <c r="K404" s="120">
        <f t="shared" si="106"/>
        <v>0</v>
      </c>
      <c r="L404" s="120">
        <f t="shared" si="106"/>
        <v>0</v>
      </c>
      <c r="M404" s="120">
        <f t="shared" si="106"/>
        <v>0</v>
      </c>
      <c r="N404" s="120">
        <f t="shared" si="106"/>
        <v>0</v>
      </c>
      <c r="O404" s="120">
        <f t="shared" si="106"/>
        <v>0</v>
      </c>
      <c r="P404" s="120">
        <f t="shared" si="106"/>
        <v>0</v>
      </c>
      <c r="Q404" s="120">
        <f t="shared" si="106"/>
        <v>0</v>
      </c>
      <c r="R404" s="120">
        <f t="shared" si="106"/>
        <v>0</v>
      </c>
      <c r="S404" s="120">
        <f t="shared" si="106"/>
        <v>0</v>
      </c>
      <c r="T404" s="120">
        <f t="shared" si="106"/>
        <v>0</v>
      </c>
      <c r="U404" s="120">
        <f t="shared" si="106"/>
        <v>0</v>
      </c>
      <c r="V404" s="120">
        <f t="shared" si="106"/>
        <v>0</v>
      </c>
      <c r="W404" s="120">
        <f t="shared" si="106"/>
        <v>0</v>
      </c>
      <c r="X404" s="120">
        <f t="shared" si="106"/>
        <v>0</v>
      </c>
      <c r="Y404" s="120">
        <f t="shared" si="106"/>
        <v>0</v>
      </c>
      <c r="Z404" s="120">
        <f t="shared" si="106"/>
        <v>0</v>
      </c>
      <c r="AA404" s="74">
        <v>4890</v>
      </c>
      <c r="AB404" s="74">
        <v>5868</v>
      </c>
      <c r="AC404" s="75" t="str">
        <f t="shared" si="44"/>
        <v>WITHIN 5D</v>
      </c>
      <c r="AD404" s="2"/>
      <c r="AG404" s="39"/>
    </row>
    <row r="405" spans="2:33" x14ac:dyDescent="0.35">
      <c r="B405" s="47" t="s">
        <v>22</v>
      </c>
      <c r="C405" s="48">
        <f t="shared" si="41"/>
        <v>0</v>
      </c>
      <c r="D405" s="48"/>
      <c r="E405" s="63"/>
      <c r="F405" s="120">
        <f t="shared" ref="F405:Z405" si="107">SUM(F17,F18,F21,F45,F49,F194)</f>
        <v>0</v>
      </c>
      <c r="G405" s="120">
        <f t="shared" si="107"/>
        <v>0</v>
      </c>
      <c r="H405" s="120">
        <f t="shared" si="107"/>
        <v>0</v>
      </c>
      <c r="I405" s="120">
        <f t="shared" si="107"/>
        <v>0</v>
      </c>
      <c r="J405" s="120">
        <f t="shared" si="107"/>
        <v>0</v>
      </c>
      <c r="K405" s="120">
        <f t="shared" si="107"/>
        <v>0</v>
      </c>
      <c r="L405" s="120">
        <f t="shared" si="107"/>
        <v>0</v>
      </c>
      <c r="M405" s="120">
        <f t="shared" si="107"/>
        <v>0</v>
      </c>
      <c r="N405" s="120">
        <f t="shared" si="107"/>
        <v>0</v>
      </c>
      <c r="O405" s="120">
        <f t="shared" si="107"/>
        <v>0</v>
      </c>
      <c r="P405" s="120">
        <f t="shared" si="107"/>
        <v>0</v>
      </c>
      <c r="Q405" s="120">
        <f t="shared" si="107"/>
        <v>0</v>
      </c>
      <c r="R405" s="120">
        <f t="shared" si="107"/>
        <v>0</v>
      </c>
      <c r="S405" s="120">
        <f t="shared" si="107"/>
        <v>0</v>
      </c>
      <c r="T405" s="120">
        <f t="shared" si="107"/>
        <v>0</v>
      </c>
      <c r="U405" s="120">
        <f t="shared" si="107"/>
        <v>0</v>
      </c>
      <c r="V405" s="120">
        <f t="shared" si="107"/>
        <v>0</v>
      </c>
      <c r="W405" s="120">
        <f t="shared" si="107"/>
        <v>0</v>
      </c>
      <c r="X405" s="120">
        <f t="shared" si="107"/>
        <v>0</v>
      </c>
      <c r="Y405" s="120">
        <f t="shared" si="107"/>
        <v>0</v>
      </c>
      <c r="Z405" s="120">
        <f t="shared" si="107"/>
        <v>0</v>
      </c>
      <c r="AA405" s="74">
        <v>3260</v>
      </c>
      <c r="AB405" s="74">
        <v>3912</v>
      </c>
      <c r="AC405" s="75" t="str">
        <f t="shared" si="44"/>
        <v>WITHIN 5D</v>
      </c>
      <c r="AD405" s="2"/>
    </row>
    <row r="406" spans="2:33" x14ac:dyDescent="0.35">
      <c r="B406" s="47" t="s">
        <v>77</v>
      </c>
      <c r="C406" s="48">
        <f t="shared" si="41"/>
        <v>0</v>
      </c>
      <c r="D406" s="48"/>
      <c r="E406" s="63"/>
      <c r="F406" s="120">
        <f t="shared" ref="F406:Z406" si="108">SUM(F52,F53,F73)</f>
        <v>0</v>
      </c>
      <c r="G406" s="120">
        <f t="shared" si="108"/>
        <v>0</v>
      </c>
      <c r="H406" s="120">
        <f t="shared" si="108"/>
        <v>0</v>
      </c>
      <c r="I406" s="120">
        <f t="shared" si="108"/>
        <v>0</v>
      </c>
      <c r="J406" s="120">
        <f t="shared" si="108"/>
        <v>0</v>
      </c>
      <c r="K406" s="120">
        <f t="shared" si="108"/>
        <v>0</v>
      </c>
      <c r="L406" s="120">
        <f t="shared" si="108"/>
        <v>0</v>
      </c>
      <c r="M406" s="120">
        <f t="shared" si="108"/>
        <v>0</v>
      </c>
      <c r="N406" s="120">
        <f t="shared" si="108"/>
        <v>0</v>
      </c>
      <c r="O406" s="120">
        <f t="shared" si="108"/>
        <v>0</v>
      </c>
      <c r="P406" s="120">
        <f t="shared" si="108"/>
        <v>0</v>
      </c>
      <c r="Q406" s="120">
        <f t="shared" si="108"/>
        <v>0</v>
      </c>
      <c r="R406" s="120">
        <f t="shared" si="108"/>
        <v>0</v>
      </c>
      <c r="S406" s="120">
        <f t="shared" si="108"/>
        <v>0</v>
      </c>
      <c r="T406" s="120">
        <f t="shared" si="108"/>
        <v>0</v>
      </c>
      <c r="U406" s="120">
        <f t="shared" si="108"/>
        <v>0</v>
      </c>
      <c r="V406" s="120">
        <f t="shared" si="108"/>
        <v>0</v>
      </c>
      <c r="W406" s="120">
        <f t="shared" si="108"/>
        <v>0</v>
      </c>
      <c r="X406" s="120">
        <f t="shared" si="108"/>
        <v>0</v>
      </c>
      <c r="Y406" s="120">
        <f t="shared" si="108"/>
        <v>0</v>
      </c>
      <c r="Z406" s="120">
        <f t="shared" si="108"/>
        <v>0</v>
      </c>
      <c r="AA406" s="77">
        <v>1630</v>
      </c>
      <c r="AB406" s="77">
        <v>1956</v>
      </c>
      <c r="AC406" s="75" t="str">
        <f t="shared" si="44"/>
        <v>WITHIN 5D</v>
      </c>
      <c r="AD406" s="2"/>
    </row>
    <row r="407" spans="2:33" x14ac:dyDescent="0.35">
      <c r="B407" s="47" t="s">
        <v>122</v>
      </c>
      <c r="C407" s="48">
        <f t="shared" si="41"/>
        <v>0</v>
      </c>
      <c r="D407" s="48"/>
      <c r="E407" s="63"/>
      <c r="F407" s="120">
        <f t="shared" ref="F407:Z407" si="109">SUM(F137,F138,F139,F140,F141,F147,F148,F149)</f>
        <v>0</v>
      </c>
      <c r="G407" s="120">
        <f t="shared" si="109"/>
        <v>0</v>
      </c>
      <c r="H407" s="120">
        <f t="shared" si="109"/>
        <v>0</v>
      </c>
      <c r="I407" s="120">
        <f t="shared" si="109"/>
        <v>0</v>
      </c>
      <c r="J407" s="120">
        <f t="shared" si="109"/>
        <v>0</v>
      </c>
      <c r="K407" s="120">
        <f t="shared" si="109"/>
        <v>0</v>
      </c>
      <c r="L407" s="120">
        <f t="shared" si="109"/>
        <v>0</v>
      </c>
      <c r="M407" s="120">
        <f t="shared" si="109"/>
        <v>0</v>
      </c>
      <c r="N407" s="120">
        <f t="shared" si="109"/>
        <v>0</v>
      </c>
      <c r="O407" s="120">
        <f t="shared" si="109"/>
        <v>0</v>
      </c>
      <c r="P407" s="120">
        <f t="shared" si="109"/>
        <v>0</v>
      </c>
      <c r="Q407" s="120">
        <f t="shared" si="109"/>
        <v>0</v>
      </c>
      <c r="R407" s="120">
        <f t="shared" si="109"/>
        <v>0</v>
      </c>
      <c r="S407" s="120">
        <f t="shared" si="109"/>
        <v>0</v>
      </c>
      <c r="T407" s="120">
        <f t="shared" si="109"/>
        <v>0</v>
      </c>
      <c r="U407" s="120">
        <f t="shared" si="109"/>
        <v>0</v>
      </c>
      <c r="V407" s="120">
        <f t="shared" si="109"/>
        <v>0</v>
      </c>
      <c r="W407" s="120">
        <f t="shared" si="109"/>
        <v>0</v>
      </c>
      <c r="X407" s="120">
        <f t="shared" si="109"/>
        <v>0</v>
      </c>
      <c r="Y407" s="120">
        <f t="shared" si="109"/>
        <v>0</v>
      </c>
      <c r="Z407" s="120">
        <f t="shared" si="109"/>
        <v>0</v>
      </c>
      <c r="AA407" s="74">
        <v>3260</v>
      </c>
      <c r="AB407" s="74">
        <v>3912</v>
      </c>
      <c r="AC407" s="75" t="str">
        <f t="shared" si="44"/>
        <v>WITHIN 5D</v>
      </c>
      <c r="AD407" s="2"/>
    </row>
    <row r="408" spans="2:33" x14ac:dyDescent="0.35">
      <c r="B408" s="47" t="s">
        <v>230</v>
      </c>
      <c r="C408" s="48">
        <f t="shared" si="41"/>
        <v>0</v>
      </c>
      <c r="D408" s="48"/>
      <c r="E408" s="63"/>
      <c r="F408" s="120">
        <f t="shared" ref="F408:Z408" si="110">SUM(F54,F55,F74,F75)</f>
        <v>0</v>
      </c>
      <c r="G408" s="120">
        <f t="shared" si="110"/>
        <v>0</v>
      </c>
      <c r="H408" s="120">
        <f t="shared" si="110"/>
        <v>0</v>
      </c>
      <c r="I408" s="120">
        <f t="shared" si="110"/>
        <v>0</v>
      </c>
      <c r="J408" s="120">
        <f t="shared" si="110"/>
        <v>0</v>
      </c>
      <c r="K408" s="120">
        <f t="shared" si="110"/>
        <v>0</v>
      </c>
      <c r="L408" s="120">
        <f t="shared" si="110"/>
        <v>0</v>
      </c>
      <c r="M408" s="120">
        <f t="shared" si="110"/>
        <v>0</v>
      </c>
      <c r="N408" s="120">
        <f t="shared" si="110"/>
        <v>0</v>
      </c>
      <c r="O408" s="120">
        <f t="shared" si="110"/>
        <v>0</v>
      </c>
      <c r="P408" s="120">
        <f t="shared" si="110"/>
        <v>0</v>
      </c>
      <c r="Q408" s="120">
        <f t="shared" si="110"/>
        <v>0</v>
      </c>
      <c r="R408" s="120">
        <f t="shared" si="110"/>
        <v>0</v>
      </c>
      <c r="S408" s="120">
        <f t="shared" si="110"/>
        <v>0</v>
      </c>
      <c r="T408" s="120">
        <f t="shared" si="110"/>
        <v>0</v>
      </c>
      <c r="U408" s="120">
        <f t="shared" si="110"/>
        <v>0</v>
      </c>
      <c r="V408" s="120">
        <f t="shared" si="110"/>
        <v>0</v>
      </c>
      <c r="W408" s="120">
        <f t="shared" si="110"/>
        <v>0</v>
      </c>
      <c r="X408" s="120">
        <f t="shared" si="110"/>
        <v>0</v>
      </c>
      <c r="Y408" s="120">
        <f t="shared" si="110"/>
        <v>0</v>
      </c>
      <c r="Z408" s="120">
        <f t="shared" si="110"/>
        <v>0</v>
      </c>
      <c r="AA408" s="77">
        <v>1630</v>
      </c>
      <c r="AB408" s="77">
        <v>1956</v>
      </c>
      <c r="AC408" s="75" t="str">
        <f t="shared" si="44"/>
        <v>WITHIN 5D</v>
      </c>
      <c r="AD408" s="2"/>
    </row>
    <row r="409" spans="2:33" x14ac:dyDescent="0.35">
      <c r="B409" s="5" t="s">
        <v>231</v>
      </c>
      <c r="C409" s="49">
        <f>SUM(C341:C408)</f>
        <v>8520</v>
      </c>
      <c r="D409" s="49"/>
      <c r="E409" s="49"/>
      <c r="F409" s="127">
        <f t="shared" ref="F409:AB409" si="111">SUM(F341:F408)</f>
        <v>1153</v>
      </c>
      <c r="G409" s="121">
        <f t="shared" si="111"/>
        <v>278</v>
      </c>
      <c r="H409" s="121">
        <f t="shared" si="111"/>
        <v>804</v>
      </c>
      <c r="I409" s="127">
        <f t="shared" si="111"/>
        <v>1092</v>
      </c>
      <c r="J409" s="121">
        <f t="shared" si="111"/>
        <v>278</v>
      </c>
      <c r="K409" s="121">
        <f t="shared" si="111"/>
        <v>804</v>
      </c>
      <c r="L409" s="127">
        <f t="shared" si="111"/>
        <v>1028</v>
      </c>
      <c r="M409" s="121">
        <f t="shared" si="111"/>
        <v>278</v>
      </c>
      <c r="N409" s="121">
        <f t="shared" si="111"/>
        <v>804</v>
      </c>
      <c r="O409" s="127">
        <f t="shared" si="111"/>
        <v>0</v>
      </c>
      <c r="P409" s="121">
        <f t="shared" si="111"/>
        <v>0</v>
      </c>
      <c r="Q409" s="121">
        <f t="shared" si="111"/>
        <v>0</v>
      </c>
      <c r="R409" s="121">
        <f>SUM(R341:R408)</f>
        <v>701</v>
      </c>
      <c r="S409" s="127">
        <f t="shared" si="111"/>
        <v>200</v>
      </c>
      <c r="T409" s="127">
        <f t="shared" si="111"/>
        <v>534</v>
      </c>
      <c r="U409" s="127">
        <f t="shared" si="111"/>
        <v>284</v>
      </c>
      <c r="V409" s="127">
        <f t="shared" si="111"/>
        <v>36</v>
      </c>
      <c r="W409" s="121">
        <f t="shared" si="111"/>
        <v>246</v>
      </c>
      <c r="X409" s="121">
        <f t="shared" si="111"/>
        <v>0</v>
      </c>
      <c r="Y409" s="121">
        <f t="shared" si="111"/>
        <v>0</v>
      </c>
      <c r="Z409" s="121">
        <f t="shared" si="111"/>
        <v>0</v>
      </c>
      <c r="AA409" s="74">
        <f t="shared" si="111"/>
        <v>107583</v>
      </c>
      <c r="AB409" s="74">
        <f t="shared" si="111"/>
        <v>129099</v>
      </c>
      <c r="AC409" s="75" t="str">
        <f t="shared" si="44"/>
        <v>WITHIN 5D</v>
      </c>
      <c r="AD409" s="2"/>
    </row>
    <row r="410" spans="2:33" x14ac:dyDescent="0.35">
      <c r="B410" s="331" t="s">
        <v>232</v>
      </c>
      <c r="C410" s="332"/>
      <c r="D410" s="13"/>
      <c r="E410" s="64"/>
      <c r="F410" s="323">
        <f>SUM(F409:H409)</f>
        <v>2235</v>
      </c>
      <c r="G410" s="324"/>
      <c r="H410" s="325"/>
      <c r="I410" s="323">
        <f>SUM(I409:K409)</f>
        <v>2174</v>
      </c>
      <c r="J410" s="324"/>
      <c r="K410" s="325"/>
      <c r="L410" s="323">
        <f>SUM(L409:N409)</f>
        <v>2110</v>
      </c>
      <c r="M410" s="324"/>
      <c r="N410" s="325"/>
      <c r="O410" s="323">
        <f>SUM(O409:Q409)</f>
        <v>0</v>
      </c>
      <c r="P410" s="324"/>
      <c r="Q410" s="325"/>
      <c r="R410" s="323">
        <f>SUM(R409:T409)</f>
        <v>1435</v>
      </c>
      <c r="S410" s="324"/>
      <c r="T410" s="325"/>
      <c r="U410" s="323">
        <f>SUM(U409:W409)</f>
        <v>566</v>
      </c>
      <c r="V410" s="324"/>
      <c r="W410" s="325"/>
      <c r="X410" s="323">
        <f>SUM(X409:Z409)</f>
        <v>0</v>
      </c>
      <c r="Y410" s="324"/>
      <c r="Z410" s="325"/>
      <c r="AA410" s="78"/>
      <c r="AB410" s="79" t="s">
        <v>365</v>
      </c>
      <c r="AC410" s="4"/>
    </row>
    <row r="411" spans="2:33" x14ac:dyDescent="0.35">
      <c r="E411" s="6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91"/>
      <c r="R411" s="91"/>
      <c r="S411" s="91"/>
      <c r="T411" s="4"/>
      <c r="U411" s="4"/>
      <c r="V411" s="4"/>
      <c r="W411" s="4"/>
      <c r="X411" s="80"/>
      <c r="Y411" s="4"/>
      <c r="Z411" s="4"/>
      <c r="AA411" s="4"/>
      <c r="AB411" s="4"/>
      <c r="AC411" s="4"/>
    </row>
    <row r="412" spans="2:33" x14ac:dyDescent="0.35"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2:33" x14ac:dyDescent="0.35">
      <c r="B413" s="326"/>
      <c r="C413" s="327"/>
      <c r="D413" s="50"/>
      <c r="E413" s="50"/>
      <c r="F413" s="329">
        <f>F1</f>
        <v>46237</v>
      </c>
      <c r="G413" s="329"/>
      <c r="H413" s="329"/>
      <c r="I413" s="329">
        <f>I1</f>
        <v>46238</v>
      </c>
      <c r="J413" s="329"/>
      <c r="K413" s="329"/>
      <c r="L413" s="329">
        <f>L1</f>
        <v>46239</v>
      </c>
      <c r="M413" s="329"/>
      <c r="N413" s="329"/>
      <c r="O413" s="329">
        <f>O1</f>
        <v>46240</v>
      </c>
      <c r="P413" s="329"/>
      <c r="Q413" s="329"/>
      <c r="R413" s="329">
        <f>R1</f>
        <v>46241</v>
      </c>
      <c r="S413" s="329"/>
      <c r="T413" s="329"/>
      <c r="U413" s="329">
        <f>U1</f>
        <v>46242</v>
      </c>
      <c r="V413" s="329"/>
      <c r="W413" s="329"/>
      <c r="X413" s="329">
        <f>X1</f>
        <v>46243</v>
      </c>
      <c r="Y413" s="329"/>
      <c r="Z413" s="330"/>
      <c r="AA413" s="4"/>
      <c r="AB413" s="4"/>
      <c r="AC413" s="4"/>
    </row>
    <row r="414" spans="2:33" x14ac:dyDescent="0.35">
      <c r="B414" s="328"/>
      <c r="C414" s="285"/>
      <c r="D414" s="14"/>
      <c r="E414" s="14"/>
      <c r="F414" s="279" t="s">
        <v>1</v>
      </c>
      <c r="G414" s="279"/>
      <c r="H414" s="279"/>
      <c r="I414" s="279" t="s">
        <v>2</v>
      </c>
      <c r="J414" s="279"/>
      <c r="K414" s="279"/>
      <c r="L414" s="279" t="s">
        <v>3</v>
      </c>
      <c r="M414" s="279"/>
      <c r="N414" s="279"/>
      <c r="O414" s="279" t="s">
        <v>4</v>
      </c>
      <c r="P414" s="279"/>
      <c r="Q414" s="279"/>
      <c r="R414" s="279" t="s">
        <v>5</v>
      </c>
      <c r="S414" s="279"/>
      <c r="T414" s="279"/>
      <c r="U414" s="279" t="s">
        <v>6</v>
      </c>
      <c r="V414" s="279"/>
      <c r="W414" s="279"/>
      <c r="X414" s="279" t="s">
        <v>7</v>
      </c>
      <c r="Y414" s="279"/>
      <c r="Z414" s="333"/>
      <c r="AA414" s="4"/>
      <c r="AB414" s="4"/>
      <c r="AC414" s="4"/>
    </row>
    <row r="415" spans="2:33" x14ac:dyDescent="0.35">
      <c r="B415" s="51" t="s">
        <v>8</v>
      </c>
      <c r="C415" s="51" t="s">
        <v>233</v>
      </c>
      <c r="F415" s="7" t="s">
        <v>10</v>
      </c>
      <c r="G415" s="8" t="s">
        <v>11</v>
      </c>
      <c r="H415" s="9" t="s">
        <v>12</v>
      </c>
      <c r="I415" s="7" t="s">
        <v>10</v>
      </c>
      <c r="J415" s="8" t="s">
        <v>11</v>
      </c>
      <c r="K415" s="9" t="s">
        <v>12</v>
      </c>
      <c r="L415" s="7" t="s">
        <v>10</v>
      </c>
      <c r="M415" s="8" t="s">
        <v>11</v>
      </c>
      <c r="N415" s="9" t="s">
        <v>12</v>
      </c>
      <c r="O415" s="7" t="s">
        <v>10</v>
      </c>
      <c r="P415" s="8" t="s">
        <v>11</v>
      </c>
      <c r="Q415" s="9" t="s">
        <v>12</v>
      </c>
      <c r="R415" s="7" t="s">
        <v>10</v>
      </c>
      <c r="S415" s="8" t="s">
        <v>11</v>
      </c>
      <c r="T415" s="9" t="s">
        <v>12</v>
      </c>
      <c r="U415" s="7" t="s">
        <v>10</v>
      </c>
      <c r="V415" s="8" t="s">
        <v>11</v>
      </c>
      <c r="W415" s="9" t="s">
        <v>12</v>
      </c>
      <c r="X415" s="7" t="s">
        <v>10</v>
      </c>
      <c r="Y415" s="8" t="s">
        <v>11</v>
      </c>
      <c r="Z415" s="81" t="s">
        <v>12</v>
      </c>
      <c r="AA415" s="4"/>
      <c r="AB415" s="4"/>
      <c r="AC415" s="4"/>
      <c r="AD415" s="30"/>
      <c r="AE415" s="30"/>
      <c r="AF415" s="30"/>
    </row>
    <row r="416" spans="2:33" x14ac:dyDescent="0.35">
      <c r="B416" s="51" t="s">
        <v>318</v>
      </c>
      <c r="C416" s="52">
        <f t="shared" ref="C416:C429" si="112">SUM(F416:Z416)</f>
        <v>0</v>
      </c>
      <c r="D416" s="52"/>
      <c r="E416" s="66"/>
      <c r="F416" s="82">
        <f t="shared" ref="F416:Z416" si="113">F325</f>
        <v>0</v>
      </c>
      <c r="G416" s="82">
        <f t="shared" si="113"/>
        <v>0</v>
      </c>
      <c r="H416" s="82">
        <f t="shared" si="113"/>
        <v>0</v>
      </c>
      <c r="I416" s="82">
        <f t="shared" si="113"/>
        <v>0</v>
      </c>
      <c r="J416" s="82">
        <f t="shared" si="113"/>
        <v>0</v>
      </c>
      <c r="K416" s="82">
        <f t="shared" si="113"/>
        <v>0</v>
      </c>
      <c r="L416" s="82">
        <f t="shared" si="113"/>
        <v>0</v>
      </c>
      <c r="M416" s="82">
        <f t="shared" si="113"/>
        <v>0</v>
      </c>
      <c r="N416" s="82">
        <f t="shared" si="113"/>
        <v>0</v>
      </c>
      <c r="O416" s="82">
        <f t="shared" si="113"/>
        <v>0</v>
      </c>
      <c r="P416" s="82">
        <f t="shared" si="113"/>
        <v>0</v>
      </c>
      <c r="Q416" s="82">
        <f t="shared" si="113"/>
        <v>0</v>
      </c>
      <c r="R416" s="82">
        <f t="shared" si="113"/>
        <v>0</v>
      </c>
      <c r="S416" s="82">
        <f t="shared" si="113"/>
        <v>0</v>
      </c>
      <c r="T416" s="82">
        <f t="shared" si="113"/>
        <v>0</v>
      </c>
      <c r="U416" s="82">
        <f t="shared" si="113"/>
        <v>0</v>
      </c>
      <c r="V416" s="82">
        <f t="shared" si="113"/>
        <v>0</v>
      </c>
      <c r="W416" s="82">
        <f t="shared" si="113"/>
        <v>0</v>
      </c>
      <c r="X416" s="82">
        <f t="shared" si="113"/>
        <v>0</v>
      </c>
      <c r="Y416" s="82">
        <f t="shared" si="113"/>
        <v>0</v>
      </c>
      <c r="Z416" s="82">
        <f t="shared" si="113"/>
        <v>0</v>
      </c>
      <c r="AA416" s="4"/>
      <c r="AB416" s="4"/>
      <c r="AC416" s="4"/>
    </row>
    <row r="417" spans="2:29" x14ac:dyDescent="0.35">
      <c r="B417" s="51" t="s">
        <v>69</v>
      </c>
      <c r="C417" s="52">
        <f t="shared" si="112"/>
        <v>0</v>
      </c>
      <c r="D417" s="52"/>
      <c r="E417" s="66"/>
      <c r="F417" s="82">
        <f t="shared" ref="F417:Z417" si="114">F326+F331</f>
        <v>0</v>
      </c>
      <c r="G417" s="82">
        <f t="shared" si="114"/>
        <v>0</v>
      </c>
      <c r="H417" s="82">
        <f t="shared" si="114"/>
        <v>0</v>
      </c>
      <c r="I417" s="82">
        <f t="shared" si="114"/>
        <v>0</v>
      </c>
      <c r="J417" s="82">
        <f t="shared" si="114"/>
        <v>0</v>
      </c>
      <c r="K417" s="82">
        <f t="shared" si="114"/>
        <v>0</v>
      </c>
      <c r="L417" s="82">
        <f t="shared" si="114"/>
        <v>0</v>
      </c>
      <c r="M417" s="82">
        <f t="shared" si="114"/>
        <v>0</v>
      </c>
      <c r="N417" s="82">
        <f t="shared" si="114"/>
        <v>0</v>
      </c>
      <c r="O417" s="82">
        <f t="shared" si="114"/>
        <v>0</v>
      </c>
      <c r="P417" s="82">
        <f t="shared" si="114"/>
        <v>0</v>
      </c>
      <c r="Q417" s="82">
        <f t="shared" si="114"/>
        <v>0</v>
      </c>
      <c r="R417" s="82">
        <f t="shared" si="114"/>
        <v>0</v>
      </c>
      <c r="S417" s="82">
        <f t="shared" si="114"/>
        <v>0</v>
      </c>
      <c r="T417" s="82">
        <f t="shared" si="114"/>
        <v>0</v>
      </c>
      <c r="U417" s="82">
        <f t="shared" si="114"/>
        <v>0</v>
      </c>
      <c r="V417" s="82">
        <f t="shared" si="114"/>
        <v>0</v>
      </c>
      <c r="W417" s="82">
        <f t="shared" si="114"/>
        <v>0</v>
      </c>
      <c r="X417" s="82">
        <f t="shared" si="114"/>
        <v>0</v>
      </c>
      <c r="Y417" s="82">
        <f t="shared" si="114"/>
        <v>0</v>
      </c>
      <c r="Z417" s="82">
        <f t="shared" si="114"/>
        <v>0</v>
      </c>
      <c r="AA417" s="4"/>
      <c r="AB417" s="4"/>
      <c r="AC417" s="4"/>
    </row>
    <row r="418" spans="2:29" x14ac:dyDescent="0.35">
      <c r="B418" s="51" t="s">
        <v>32</v>
      </c>
      <c r="C418" s="52">
        <f t="shared" si="112"/>
        <v>0</v>
      </c>
      <c r="D418" s="52"/>
      <c r="E418" s="66"/>
      <c r="F418" s="82">
        <f t="shared" ref="F418:Z418" si="115">F318</f>
        <v>0</v>
      </c>
      <c r="G418" s="82">
        <f t="shared" si="115"/>
        <v>0</v>
      </c>
      <c r="H418" s="82">
        <f t="shared" si="115"/>
        <v>0</v>
      </c>
      <c r="I418" s="82">
        <f t="shared" si="115"/>
        <v>0</v>
      </c>
      <c r="J418" s="82">
        <f t="shared" si="115"/>
        <v>0</v>
      </c>
      <c r="K418" s="82">
        <f t="shared" si="115"/>
        <v>0</v>
      </c>
      <c r="L418" s="82">
        <f t="shared" si="115"/>
        <v>0</v>
      </c>
      <c r="M418" s="82">
        <f t="shared" si="115"/>
        <v>0</v>
      </c>
      <c r="N418" s="82">
        <f t="shared" si="115"/>
        <v>0</v>
      </c>
      <c r="O418" s="82">
        <f t="shared" si="115"/>
        <v>0</v>
      </c>
      <c r="P418" s="82">
        <f t="shared" si="115"/>
        <v>0</v>
      </c>
      <c r="Q418" s="82">
        <f t="shared" si="115"/>
        <v>0</v>
      </c>
      <c r="R418" s="82">
        <f t="shared" si="115"/>
        <v>0</v>
      </c>
      <c r="S418" s="82">
        <f t="shared" si="115"/>
        <v>0</v>
      </c>
      <c r="T418" s="82">
        <f t="shared" si="115"/>
        <v>0</v>
      </c>
      <c r="U418" s="82">
        <f t="shared" si="115"/>
        <v>0</v>
      </c>
      <c r="V418" s="82">
        <f t="shared" si="115"/>
        <v>0</v>
      </c>
      <c r="W418" s="82">
        <f t="shared" si="115"/>
        <v>0</v>
      </c>
      <c r="X418" s="82">
        <f t="shared" si="115"/>
        <v>0</v>
      </c>
      <c r="Y418" s="82">
        <f t="shared" si="115"/>
        <v>0</v>
      </c>
      <c r="Z418" s="82">
        <f t="shared" si="115"/>
        <v>0</v>
      </c>
      <c r="AA418" s="4"/>
      <c r="AB418" s="4"/>
      <c r="AC418" s="4"/>
    </row>
    <row r="419" spans="2:29" x14ac:dyDescent="0.35">
      <c r="B419" s="51" t="s">
        <v>206</v>
      </c>
      <c r="C419" s="52">
        <f t="shared" si="112"/>
        <v>0</v>
      </c>
      <c r="D419" s="52"/>
      <c r="E419" s="66"/>
      <c r="F419" s="82">
        <f t="shared" ref="F419:Z419" si="116">F324</f>
        <v>0</v>
      </c>
      <c r="G419" s="82">
        <f t="shared" si="116"/>
        <v>0</v>
      </c>
      <c r="H419" s="82">
        <f t="shared" si="116"/>
        <v>0</v>
      </c>
      <c r="I419" s="82">
        <f t="shared" si="116"/>
        <v>0</v>
      </c>
      <c r="J419" s="82">
        <f t="shared" si="116"/>
        <v>0</v>
      </c>
      <c r="K419" s="82">
        <f t="shared" si="116"/>
        <v>0</v>
      </c>
      <c r="L419" s="82">
        <f t="shared" si="116"/>
        <v>0</v>
      </c>
      <c r="M419" s="82">
        <f t="shared" si="116"/>
        <v>0</v>
      </c>
      <c r="N419" s="82">
        <f t="shared" si="116"/>
        <v>0</v>
      </c>
      <c r="O419" s="82">
        <f t="shared" si="116"/>
        <v>0</v>
      </c>
      <c r="P419" s="82">
        <f t="shared" si="116"/>
        <v>0</v>
      </c>
      <c r="Q419" s="82">
        <f t="shared" si="116"/>
        <v>0</v>
      </c>
      <c r="R419" s="82">
        <f t="shared" si="116"/>
        <v>0</v>
      </c>
      <c r="S419" s="82">
        <f t="shared" si="116"/>
        <v>0</v>
      </c>
      <c r="T419" s="82">
        <f t="shared" si="116"/>
        <v>0</v>
      </c>
      <c r="U419" s="82">
        <f t="shared" si="116"/>
        <v>0</v>
      </c>
      <c r="V419" s="82">
        <f t="shared" si="116"/>
        <v>0</v>
      </c>
      <c r="W419" s="82">
        <f t="shared" si="116"/>
        <v>0</v>
      </c>
      <c r="X419" s="82">
        <f t="shared" si="116"/>
        <v>0</v>
      </c>
      <c r="Y419" s="82">
        <f t="shared" si="116"/>
        <v>0</v>
      </c>
      <c r="Z419" s="82">
        <f t="shared" si="116"/>
        <v>0</v>
      </c>
      <c r="AA419" s="4"/>
      <c r="AB419" s="4"/>
      <c r="AC419" s="4"/>
    </row>
    <row r="420" spans="2:29" x14ac:dyDescent="0.35">
      <c r="B420" s="51" t="s">
        <v>234</v>
      </c>
      <c r="C420" s="52">
        <f t="shared" si="112"/>
        <v>0</v>
      </c>
      <c r="D420" s="52"/>
      <c r="E420" s="66"/>
      <c r="F420" s="82">
        <f t="shared" ref="F420:Z420" si="117">F321</f>
        <v>0</v>
      </c>
      <c r="G420" s="82">
        <f t="shared" si="117"/>
        <v>0</v>
      </c>
      <c r="H420" s="82">
        <f t="shared" si="117"/>
        <v>0</v>
      </c>
      <c r="I420" s="82">
        <f t="shared" si="117"/>
        <v>0</v>
      </c>
      <c r="J420" s="82">
        <f t="shared" si="117"/>
        <v>0</v>
      </c>
      <c r="K420" s="82">
        <f t="shared" si="117"/>
        <v>0</v>
      </c>
      <c r="L420" s="82">
        <f t="shared" si="117"/>
        <v>0</v>
      </c>
      <c r="M420" s="82">
        <f t="shared" si="117"/>
        <v>0</v>
      </c>
      <c r="N420" s="82">
        <f t="shared" si="117"/>
        <v>0</v>
      </c>
      <c r="O420" s="82">
        <f t="shared" si="117"/>
        <v>0</v>
      </c>
      <c r="P420" s="82">
        <f t="shared" si="117"/>
        <v>0</v>
      </c>
      <c r="Q420" s="82">
        <f t="shared" si="117"/>
        <v>0</v>
      </c>
      <c r="R420" s="82">
        <f t="shared" si="117"/>
        <v>0</v>
      </c>
      <c r="S420" s="82">
        <f t="shared" si="117"/>
        <v>0</v>
      </c>
      <c r="T420" s="82">
        <f t="shared" si="117"/>
        <v>0</v>
      </c>
      <c r="U420" s="82">
        <f t="shared" si="117"/>
        <v>0</v>
      </c>
      <c r="V420" s="82">
        <f t="shared" si="117"/>
        <v>0</v>
      </c>
      <c r="W420" s="82">
        <f t="shared" si="117"/>
        <v>0</v>
      </c>
      <c r="X420" s="82">
        <f t="shared" si="117"/>
        <v>0</v>
      </c>
      <c r="Y420" s="82">
        <f t="shared" si="117"/>
        <v>0</v>
      </c>
      <c r="Z420" s="82">
        <f t="shared" si="117"/>
        <v>0</v>
      </c>
      <c r="AA420" s="4"/>
      <c r="AB420" s="4"/>
      <c r="AC420" s="4"/>
    </row>
    <row r="421" spans="2:29" x14ac:dyDescent="0.35">
      <c r="B421" s="51" t="s">
        <v>14</v>
      </c>
      <c r="C421" s="52">
        <f t="shared" si="112"/>
        <v>0</v>
      </c>
      <c r="D421" s="52"/>
      <c r="E421" s="66"/>
      <c r="F421" s="82">
        <f t="shared" ref="F421:Z421" si="118">F320</f>
        <v>0</v>
      </c>
      <c r="G421" s="82">
        <f t="shared" si="118"/>
        <v>0</v>
      </c>
      <c r="H421" s="82">
        <f t="shared" si="118"/>
        <v>0</v>
      </c>
      <c r="I421" s="82">
        <f t="shared" si="118"/>
        <v>0</v>
      </c>
      <c r="J421" s="82">
        <f t="shared" si="118"/>
        <v>0</v>
      </c>
      <c r="K421" s="82">
        <f t="shared" si="118"/>
        <v>0</v>
      </c>
      <c r="L421" s="82">
        <f t="shared" si="118"/>
        <v>0</v>
      </c>
      <c r="M421" s="82">
        <f t="shared" si="118"/>
        <v>0</v>
      </c>
      <c r="N421" s="82">
        <f t="shared" si="118"/>
        <v>0</v>
      </c>
      <c r="O421" s="82">
        <f t="shared" si="118"/>
        <v>0</v>
      </c>
      <c r="P421" s="82">
        <f t="shared" si="118"/>
        <v>0</v>
      </c>
      <c r="Q421" s="82">
        <f t="shared" si="118"/>
        <v>0</v>
      </c>
      <c r="R421" s="82">
        <f t="shared" si="118"/>
        <v>0</v>
      </c>
      <c r="S421" s="82">
        <f t="shared" si="118"/>
        <v>0</v>
      </c>
      <c r="T421" s="82">
        <f t="shared" si="118"/>
        <v>0</v>
      </c>
      <c r="U421" s="82">
        <f t="shared" si="118"/>
        <v>0</v>
      </c>
      <c r="V421" s="82">
        <f t="shared" si="118"/>
        <v>0</v>
      </c>
      <c r="W421" s="82">
        <f t="shared" si="118"/>
        <v>0</v>
      </c>
      <c r="X421" s="82">
        <f t="shared" si="118"/>
        <v>0</v>
      </c>
      <c r="Y421" s="82">
        <f t="shared" si="118"/>
        <v>0</v>
      </c>
      <c r="Z421" s="82">
        <f t="shared" si="118"/>
        <v>0</v>
      </c>
      <c r="AA421" s="4"/>
      <c r="AB421" s="4"/>
      <c r="AC421" s="4"/>
    </row>
    <row r="422" spans="2:29" x14ac:dyDescent="0.35">
      <c r="B422" s="51" t="s">
        <v>112</v>
      </c>
      <c r="C422" s="52">
        <f t="shared" ref="C422" si="119">SUM(F422:Z422)</f>
        <v>0</v>
      </c>
      <c r="D422" s="52"/>
      <c r="E422" s="66"/>
      <c r="F422" s="82">
        <v>0</v>
      </c>
      <c r="G422" s="82">
        <f>G332+G333</f>
        <v>0</v>
      </c>
      <c r="H422" s="82">
        <f>H332+H333</f>
        <v>0</v>
      </c>
      <c r="I422" s="82">
        <v>0</v>
      </c>
      <c r="J422" s="82">
        <v>0</v>
      </c>
      <c r="K422" s="82">
        <v>0</v>
      </c>
      <c r="L422" s="82">
        <v>0</v>
      </c>
      <c r="M422" s="82">
        <v>0</v>
      </c>
      <c r="N422" s="82">
        <v>0</v>
      </c>
      <c r="O422" s="82">
        <v>0</v>
      </c>
      <c r="P422" s="82">
        <v>0</v>
      </c>
      <c r="Q422" s="82">
        <v>0</v>
      </c>
      <c r="R422" s="82">
        <v>0</v>
      </c>
      <c r="S422" s="82">
        <v>0</v>
      </c>
      <c r="T422" s="82">
        <v>0</v>
      </c>
      <c r="U422" s="82">
        <v>0</v>
      </c>
      <c r="V422" s="82">
        <v>0</v>
      </c>
      <c r="W422" s="82">
        <v>0</v>
      </c>
      <c r="X422" s="82">
        <v>0</v>
      </c>
      <c r="Y422" s="82">
        <v>0</v>
      </c>
      <c r="Z422" s="82">
        <v>0</v>
      </c>
      <c r="AA422" s="4"/>
      <c r="AB422" s="4"/>
      <c r="AC422" s="4"/>
    </row>
    <row r="423" spans="2:29" x14ac:dyDescent="0.35">
      <c r="B423" s="51" t="s">
        <v>159</v>
      </c>
      <c r="C423" s="52">
        <f t="shared" si="112"/>
        <v>0</v>
      </c>
      <c r="D423" s="52"/>
      <c r="E423" s="66"/>
      <c r="F423" s="82">
        <f t="shared" ref="F423:Z423" si="120">F327</f>
        <v>0</v>
      </c>
      <c r="G423" s="82">
        <f t="shared" si="120"/>
        <v>0</v>
      </c>
      <c r="H423" s="82">
        <f t="shared" si="120"/>
        <v>0</v>
      </c>
      <c r="I423" s="82">
        <f t="shared" si="120"/>
        <v>0</v>
      </c>
      <c r="J423" s="82">
        <f t="shared" si="120"/>
        <v>0</v>
      </c>
      <c r="K423" s="82">
        <f t="shared" si="120"/>
        <v>0</v>
      </c>
      <c r="L423" s="82">
        <f t="shared" si="120"/>
        <v>0</v>
      </c>
      <c r="M423" s="82">
        <f t="shared" si="120"/>
        <v>0</v>
      </c>
      <c r="N423" s="82">
        <f t="shared" si="120"/>
        <v>0</v>
      </c>
      <c r="O423" s="82">
        <f t="shared" si="120"/>
        <v>0</v>
      </c>
      <c r="P423" s="82">
        <f t="shared" si="120"/>
        <v>0</v>
      </c>
      <c r="Q423" s="82">
        <f t="shared" si="120"/>
        <v>0</v>
      </c>
      <c r="R423" s="82">
        <f t="shared" si="120"/>
        <v>0</v>
      </c>
      <c r="S423" s="82">
        <f t="shared" si="120"/>
        <v>0</v>
      </c>
      <c r="T423" s="82">
        <f t="shared" si="120"/>
        <v>0</v>
      </c>
      <c r="U423" s="82">
        <f t="shared" si="120"/>
        <v>0</v>
      </c>
      <c r="V423" s="82">
        <f t="shared" si="120"/>
        <v>0</v>
      </c>
      <c r="W423" s="82">
        <f t="shared" si="120"/>
        <v>0</v>
      </c>
      <c r="X423" s="82">
        <f t="shared" si="120"/>
        <v>0</v>
      </c>
      <c r="Y423" s="82">
        <f t="shared" si="120"/>
        <v>0</v>
      </c>
      <c r="Z423" s="82">
        <f t="shared" si="120"/>
        <v>0</v>
      </c>
      <c r="AA423" s="4"/>
      <c r="AB423" s="4"/>
      <c r="AC423" s="4"/>
    </row>
    <row r="424" spans="2:29" x14ac:dyDescent="0.35">
      <c r="B424" s="53" t="s">
        <v>235</v>
      </c>
      <c r="C424" s="52">
        <f t="shared" si="112"/>
        <v>0</v>
      </c>
      <c r="D424" s="52"/>
      <c r="E424" s="66"/>
      <c r="F424" s="82">
        <f t="shared" ref="F424:Z424" si="121">F328</f>
        <v>0</v>
      </c>
      <c r="G424" s="82">
        <f t="shared" si="121"/>
        <v>0</v>
      </c>
      <c r="H424" s="82">
        <f t="shared" si="121"/>
        <v>0</v>
      </c>
      <c r="I424" s="82">
        <f t="shared" si="121"/>
        <v>0</v>
      </c>
      <c r="J424" s="82">
        <f t="shared" si="121"/>
        <v>0</v>
      </c>
      <c r="K424" s="82">
        <f t="shared" si="121"/>
        <v>0</v>
      </c>
      <c r="L424" s="82">
        <f t="shared" si="121"/>
        <v>0</v>
      </c>
      <c r="M424" s="82">
        <f t="shared" si="121"/>
        <v>0</v>
      </c>
      <c r="N424" s="82">
        <f t="shared" si="121"/>
        <v>0</v>
      </c>
      <c r="O424" s="82">
        <f t="shared" si="121"/>
        <v>0</v>
      </c>
      <c r="P424" s="82">
        <f t="shared" si="121"/>
        <v>0</v>
      </c>
      <c r="Q424" s="82">
        <f t="shared" si="121"/>
        <v>0</v>
      </c>
      <c r="R424" s="82">
        <f t="shared" si="121"/>
        <v>0</v>
      </c>
      <c r="S424" s="82">
        <f t="shared" si="121"/>
        <v>0</v>
      </c>
      <c r="T424" s="82">
        <f t="shared" si="121"/>
        <v>0</v>
      </c>
      <c r="U424" s="82">
        <f t="shared" si="121"/>
        <v>0</v>
      </c>
      <c r="V424" s="82">
        <f t="shared" si="121"/>
        <v>0</v>
      </c>
      <c r="W424" s="82">
        <f t="shared" si="121"/>
        <v>0</v>
      </c>
      <c r="X424" s="82">
        <f t="shared" si="121"/>
        <v>0</v>
      </c>
      <c r="Y424" s="82">
        <f t="shared" si="121"/>
        <v>0</v>
      </c>
      <c r="Z424" s="82">
        <f t="shared" si="121"/>
        <v>0</v>
      </c>
      <c r="AA424" s="4"/>
      <c r="AB424" s="4"/>
      <c r="AC424" s="4"/>
    </row>
    <row r="425" spans="2:29" x14ac:dyDescent="0.35">
      <c r="B425" s="53" t="s">
        <v>236</v>
      </c>
      <c r="C425" s="52">
        <f t="shared" si="112"/>
        <v>0</v>
      </c>
      <c r="D425" s="52"/>
      <c r="E425" s="66"/>
      <c r="F425" s="82">
        <f t="shared" ref="F425:Z425" si="122">F322+F330</f>
        <v>0</v>
      </c>
      <c r="G425" s="82">
        <f t="shared" si="122"/>
        <v>0</v>
      </c>
      <c r="H425" s="82">
        <f t="shared" si="122"/>
        <v>0</v>
      </c>
      <c r="I425" s="82">
        <f t="shared" si="122"/>
        <v>0</v>
      </c>
      <c r="J425" s="82">
        <f t="shared" si="122"/>
        <v>0</v>
      </c>
      <c r="K425" s="82">
        <f t="shared" si="122"/>
        <v>0</v>
      </c>
      <c r="L425" s="82">
        <f t="shared" si="122"/>
        <v>0</v>
      </c>
      <c r="M425" s="82">
        <f t="shared" si="122"/>
        <v>0</v>
      </c>
      <c r="N425" s="82">
        <f t="shared" si="122"/>
        <v>0</v>
      </c>
      <c r="O425" s="82">
        <f t="shared" si="122"/>
        <v>0</v>
      </c>
      <c r="P425" s="82">
        <f t="shared" si="122"/>
        <v>0</v>
      </c>
      <c r="Q425" s="82">
        <f t="shared" si="122"/>
        <v>0</v>
      </c>
      <c r="R425" s="82">
        <f t="shared" si="122"/>
        <v>0</v>
      </c>
      <c r="S425" s="82">
        <f t="shared" si="122"/>
        <v>0</v>
      </c>
      <c r="T425" s="82">
        <f t="shared" si="122"/>
        <v>0</v>
      </c>
      <c r="U425" s="82">
        <f t="shared" si="122"/>
        <v>0</v>
      </c>
      <c r="V425" s="82">
        <f t="shared" si="122"/>
        <v>0</v>
      </c>
      <c r="W425" s="82">
        <f t="shared" si="122"/>
        <v>0</v>
      </c>
      <c r="X425" s="82">
        <f t="shared" si="122"/>
        <v>0</v>
      </c>
      <c r="Y425" s="82">
        <f t="shared" si="122"/>
        <v>0</v>
      </c>
      <c r="Z425" s="82">
        <f t="shared" si="122"/>
        <v>0</v>
      </c>
      <c r="AA425" s="4"/>
      <c r="AB425" s="4"/>
      <c r="AC425" s="4"/>
    </row>
    <row r="426" spans="2:29" x14ac:dyDescent="0.35">
      <c r="B426" s="53" t="s">
        <v>34</v>
      </c>
      <c r="C426" s="52">
        <f t="shared" si="112"/>
        <v>0</v>
      </c>
      <c r="D426" s="52"/>
      <c r="E426" s="66"/>
      <c r="F426" s="82">
        <f t="shared" ref="F426:Z426" si="123">F329</f>
        <v>0</v>
      </c>
      <c r="G426" s="82">
        <f t="shared" si="123"/>
        <v>0</v>
      </c>
      <c r="H426" s="82">
        <f t="shared" si="123"/>
        <v>0</v>
      </c>
      <c r="I426" s="82">
        <f t="shared" si="123"/>
        <v>0</v>
      </c>
      <c r="J426" s="82">
        <f t="shared" si="123"/>
        <v>0</v>
      </c>
      <c r="K426" s="82">
        <f t="shared" si="123"/>
        <v>0</v>
      </c>
      <c r="L426" s="82">
        <f t="shared" si="123"/>
        <v>0</v>
      </c>
      <c r="M426" s="82">
        <f t="shared" si="123"/>
        <v>0</v>
      </c>
      <c r="N426" s="82">
        <f t="shared" si="123"/>
        <v>0</v>
      </c>
      <c r="O426" s="82">
        <f t="shared" si="123"/>
        <v>0</v>
      </c>
      <c r="P426" s="82">
        <f t="shared" si="123"/>
        <v>0</v>
      </c>
      <c r="Q426" s="82">
        <f t="shared" si="123"/>
        <v>0</v>
      </c>
      <c r="R426" s="82">
        <f t="shared" si="123"/>
        <v>0</v>
      </c>
      <c r="S426" s="82">
        <f t="shared" si="123"/>
        <v>0</v>
      </c>
      <c r="T426" s="82">
        <f t="shared" si="123"/>
        <v>0</v>
      </c>
      <c r="U426" s="82">
        <f t="shared" si="123"/>
        <v>0</v>
      </c>
      <c r="V426" s="82">
        <f t="shared" si="123"/>
        <v>0</v>
      </c>
      <c r="W426" s="82">
        <f t="shared" si="123"/>
        <v>0</v>
      </c>
      <c r="X426" s="82">
        <f t="shared" si="123"/>
        <v>0</v>
      </c>
      <c r="Y426" s="82">
        <f t="shared" si="123"/>
        <v>0</v>
      </c>
      <c r="Z426" s="82">
        <f t="shared" si="123"/>
        <v>0</v>
      </c>
      <c r="AA426" s="4"/>
      <c r="AB426" s="4"/>
      <c r="AC426" s="4"/>
    </row>
    <row r="427" spans="2:29" x14ac:dyDescent="0.35">
      <c r="B427" s="53" t="s">
        <v>50</v>
      </c>
      <c r="C427" s="52">
        <f t="shared" si="112"/>
        <v>0</v>
      </c>
      <c r="D427" s="52"/>
      <c r="E427" s="66"/>
      <c r="F427" s="82">
        <v>0</v>
      </c>
      <c r="G427" s="82">
        <v>0</v>
      </c>
      <c r="H427" s="82">
        <v>0</v>
      </c>
      <c r="I427" s="82">
        <v>0</v>
      </c>
      <c r="J427" s="82">
        <v>0</v>
      </c>
      <c r="K427" s="82">
        <v>0</v>
      </c>
      <c r="L427" s="82">
        <v>0</v>
      </c>
      <c r="M427" s="82">
        <v>0</v>
      </c>
      <c r="N427" s="82">
        <v>0</v>
      </c>
      <c r="O427" s="82">
        <v>0</v>
      </c>
      <c r="P427" s="82">
        <v>0</v>
      </c>
      <c r="Q427" s="82">
        <v>0</v>
      </c>
      <c r="R427" s="82">
        <v>0</v>
      </c>
      <c r="S427" s="82">
        <v>0</v>
      </c>
      <c r="T427" s="82">
        <v>0</v>
      </c>
      <c r="U427" s="82">
        <v>0</v>
      </c>
      <c r="V427" s="82">
        <v>0</v>
      </c>
      <c r="W427" s="82">
        <v>0</v>
      </c>
      <c r="X427" s="82">
        <v>0</v>
      </c>
      <c r="Y427" s="82">
        <v>0</v>
      </c>
      <c r="Z427" s="82">
        <v>0</v>
      </c>
      <c r="AA427" s="4"/>
      <c r="AB427" s="4"/>
      <c r="AC427" s="4"/>
    </row>
    <row r="428" spans="2:29" x14ac:dyDescent="0.35">
      <c r="B428" s="53" t="s">
        <v>22</v>
      </c>
      <c r="C428" s="52">
        <f t="shared" si="112"/>
        <v>0</v>
      </c>
      <c r="D428" s="52"/>
      <c r="E428" s="66"/>
      <c r="F428" s="82">
        <v>0</v>
      </c>
      <c r="G428" s="82">
        <f>G333</f>
        <v>0</v>
      </c>
      <c r="H428" s="82">
        <f>H333</f>
        <v>0</v>
      </c>
      <c r="I428" s="82">
        <v>0</v>
      </c>
      <c r="J428" s="82">
        <v>0</v>
      </c>
      <c r="K428" s="82">
        <v>0</v>
      </c>
      <c r="L428" s="82">
        <v>0</v>
      </c>
      <c r="M428" s="82">
        <v>0</v>
      </c>
      <c r="N428" s="82">
        <v>0</v>
      </c>
      <c r="O428" s="82">
        <v>0</v>
      </c>
      <c r="P428" s="82">
        <v>0</v>
      </c>
      <c r="Q428" s="82">
        <v>0</v>
      </c>
      <c r="R428" s="82">
        <v>0</v>
      </c>
      <c r="S428" s="82">
        <v>0</v>
      </c>
      <c r="T428" s="82">
        <v>0</v>
      </c>
      <c r="U428" s="82">
        <v>0</v>
      </c>
      <c r="V428" s="82">
        <v>0</v>
      </c>
      <c r="W428" s="82">
        <v>0</v>
      </c>
      <c r="X428" s="82">
        <v>0</v>
      </c>
      <c r="Y428" s="82">
        <v>0</v>
      </c>
      <c r="Z428" s="82">
        <v>0</v>
      </c>
      <c r="AA428" s="4"/>
      <c r="AB428" s="4"/>
      <c r="AC428" s="4"/>
    </row>
    <row r="429" spans="2:29" x14ac:dyDescent="0.35">
      <c r="B429" s="53" t="s">
        <v>237</v>
      </c>
      <c r="C429" s="52">
        <f t="shared" si="112"/>
        <v>0</v>
      </c>
      <c r="D429" s="52"/>
      <c r="E429" s="66"/>
      <c r="F429" s="82">
        <f t="shared" ref="F429:Z429" si="124">F323</f>
        <v>0</v>
      </c>
      <c r="G429" s="82">
        <f t="shared" si="124"/>
        <v>0</v>
      </c>
      <c r="H429" s="82">
        <f t="shared" si="124"/>
        <v>0</v>
      </c>
      <c r="I429" s="82">
        <f t="shared" si="124"/>
        <v>0</v>
      </c>
      <c r="J429" s="82">
        <f t="shared" si="124"/>
        <v>0</v>
      </c>
      <c r="K429" s="82">
        <f t="shared" si="124"/>
        <v>0</v>
      </c>
      <c r="L429" s="82">
        <f t="shared" si="124"/>
        <v>0</v>
      </c>
      <c r="M429" s="82">
        <f t="shared" si="124"/>
        <v>0</v>
      </c>
      <c r="N429" s="82">
        <f t="shared" si="124"/>
        <v>0</v>
      </c>
      <c r="O429" s="82">
        <f t="shared" si="124"/>
        <v>0</v>
      </c>
      <c r="P429" s="82">
        <f t="shared" si="124"/>
        <v>0</v>
      </c>
      <c r="Q429" s="82">
        <f t="shared" si="124"/>
        <v>0</v>
      </c>
      <c r="R429" s="82">
        <f t="shared" si="124"/>
        <v>0</v>
      </c>
      <c r="S429" s="82">
        <f t="shared" si="124"/>
        <v>0</v>
      </c>
      <c r="T429" s="82">
        <f t="shared" si="124"/>
        <v>0</v>
      </c>
      <c r="U429" s="82">
        <f t="shared" si="124"/>
        <v>0</v>
      </c>
      <c r="V429" s="82">
        <f t="shared" si="124"/>
        <v>0</v>
      </c>
      <c r="W429" s="82">
        <f t="shared" si="124"/>
        <v>0</v>
      </c>
      <c r="X429" s="82">
        <f t="shared" si="124"/>
        <v>0</v>
      </c>
      <c r="Y429" s="82">
        <f t="shared" si="124"/>
        <v>0</v>
      </c>
      <c r="Z429" s="82">
        <f t="shared" si="124"/>
        <v>0</v>
      </c>
      <c r="AA429" s="4"/>
      <c r="AB429" s="4"/>
      <c r="AC429" s="4"/>
    </row>
    <row r="430" spans="2:29" x14ac:dyDescent="0.35">
      <c r="B430" s="54" t="s">
        <v>231</v>
      </c>
      <c r="C430" s="6">
        <f>SUM(C416:C429)</f>
        <v>0</v>
      </c>
      <c r="D430" s="6"/>
      <c r="E430" s="6"/>
      <c r="F430" s="83">
        <f t="shared" ref="F430:Z430" si="125">SUM(F416:F429)</f>
        <v>0</v>
      </c>
      <c r="G430" s="83">
        <f t="shared" si="125"/>
        <v>0</v>
      </c>
      <c r="H430" s="83">
        <f t="shared" si="125"/>
        <v>0</v>
      </c>
      <c r="I430" s="83">
        <f t="shared" si="125"/>
        <v>0</v>
      </c>
      <c r="J430" s="83">
        <f t="shared" si="125"/>
        <v>0</v>
      </c>
      <c r="K430" s="83">
        <f t="shared" si="125"/>
        <v>0</v>
      </c>
      <c r="L430" s="83">
        <f t="shared" si="125"/>
        <v>0</v>
      </c>
      <c r="M430" s="83">
        <f t="shared" si="125"/>
        <v>0</v>
      </c>
      <c r="N430" s="83">
        <f t="shared" si="125"/>
        <v>0</v>
      </c>
      <c r="O430" s="83">
        <f t="shared" si="125"/>
        <v>0</v>
      </c>
      <c r="P430" s="83">
        <f t="shared" si="125"/>
        <v>0</v>
      </c>
      <c r="Q430" s="83">
        <f t="shared" si="125"/>
        <v>0</v>
      </c>
      <c r="R430" s="83">
        <f t="shared" si="125"/>
        <v>0</v>
      </c>
      <c r="S430" s="83">
        <f t="shared" si="125"/>
        <v>0</v>
      </c>
      <c r="T430" s="83">
        <f t="shared" si="125"/>
        <v>0</v>
      </c>
      <c r="U430" s="83">
        <f t="shared" si="125"/>
        <v>0</v>
      </c>
      <c r="V430" s="83">
        <f t="shared" si="125"/>
        <v>0</v>
      </c>
      <c r="W430" s="83">
        <f t="shared" si="125"/>
        <v>0</v>
      </c>
      <c r="X430" s="83">
        <f t="shared" si="125"/>
        <v>0</v>
      </c>
      <c r="Y430" s="83">
        <f t="shared" si="125"/>
        <v>0</v>
      </c>
      <c r="Z430" s="83">
        <f t="shared" si="125"/>
        <v>0</v>
      </c>
      <c r="AA430" s="4"/>
      <c r="AB430" s="4"/>
      <c r="AC430" s="4"/>
    </row>
    <row r="431" spans="2:29" x14ac:dyDescent="0.35">
      <c r="B431" s="331" t="s">
        <v>232</v>
      </c>
      <c r="C431" s="332"/>
      <c r="D431" s="13"/>
      <c r="E431" s="64"/>
      <c r="F431" s="331">
        <f>SUM(F430:H430)</f>
        <v>0</v>
      </c>
      <c r="G431" s="334"/>
      <c r="H431" s="332"/>
      <c r="I431" s="331">
        <f>SUM(I430:K430)</f>
        <v>0</v>
      </c>
      <c r="J431" s="334"/>
      <c r="K431" s="332"/>
      <c r="L431" s="331">
        <f>SUM(L430:N430)</f>
        <v>0</v>
      </c>
      <c r="M431" s="334"/>
      <c r="N431" s="332"/>
      <c r="O431" s="331">
        <f>SUM(O430:Q430)</f>
        <v>0</v>
      </c>
      <c r="P431" s="334"/>
      <c r="Q431" s="332"/>
      <c r="R431" s="331">
        <f>SUM(R430:T430)</f>
        <v>0</v>
      </c>
      <c r="S431" s="334"/>
      <c r="T431" s="332"/>
      <c r="U431" s="331">
        <f>SUM(U430:W430)</f>
        <v>0</v>
      </c>
      <c r="V431" s="334"/>
      <c r="W431" s="332"/>
      <c r="X431" s="331">
        <f>SUM(X430:Z430)</f>
        <v>0</v>
      </c>
      <c r="Y431" s="334"/>
      <c r="Z431" s="332"/>
      <c r="AA431" s="4"/>
      <c r="AB431" s="4"/>
      <c r="AC431" s="4"/>
    </row>
    <row r="432" spans="2:29" x14ac:dyDescent="0.35">
      <c r="C432" s="3"/>
      <c r="D432" s="3"/>
      <c r="E432" s="67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</row>
    <row r="433" spans="2:28" x14ac:dyDescent="0.35">
      <c r="C433" s="3"/>
      <c r="D433" s="3"/>
      <c r="E433" s="67"/>
      <c r="G433" s="28">
        <f>F431+F410</f>
        <v>2235</v>
      </c>
      <c r="J433" s="28">
        <f>I431+I410</f>
        <v>2174</v>
      </c>
      <c r="M433" s="28">
        <f>L431+L410</f>
        <v>2110</v>
      </c>
      <c r="P433" s="28">
        <f>O431+O410</f>
        <v>0</v>
      </c>
      <c r="S433" s="28">
        <f>R431+R410</f>
        <v>1435</v>
      </c>
      <c r="V433" s="28">
        <f>U431+U410</f>
        <v>566</v>
      </c>
      <c r="Y433" s="28">
        <f>X431+X410</f>
        <v>0</v>
      </c>
      <c r="AA433" s="202">
        <f>SUM(F433:Z433)</f>
        <v>8520</v>
      </c>
      <c r="AB433" s="28" t="b">
        <f>AB334=AA433</f>
        <v>1</v>
      </c>
    </row>
    <row r="434" spans="2:28" x14ac:dyDescent="0.35">
      <c r="C434" s="3"/>
      <c r="D434" s="3"/>
      <c r="E434" s="67"/>
    </row>
    <row r="435" spans="2:28" x14ac:dyDescent="0.35">
      <c r="C435" s="3"/>
      <c r="D435" s="3"/>
      <c r="E435" s="67"/>
      <c r="F435" s="203">
        <f t="shared" ref="F435:Z435" si="126">F409+F430</f>
        <v>1153</v>
      </c>
      <c r="G435" s="203">
        <f t="shared" si="126"/>
        <v>278</v>
      </c>
      <c r="H435" s="203">
        <f t="shared" si="126"/>
        <v>804</v>
      </c>
      <c r="I435" s="203">
        <f t="shared" si="126"/>
        <v>1092</v>
      </c>
      <c r="J435" s="203">
        <f t="shared" si="126"/>
        <v>278</v>
      </c>
      <c r="K435" s="203">
        <f t="shared" si="126"/>
        <v>804</v>
      </c>
      <c r="L435" s="203">
        <f t="shared" si="126"/>
        <v>1028</v>
      </c>
      <c r="M435" s="203">
        <f t="shared" si="126"/>
        <v>278</v>
      </c>
      <c r="N435" s="203">
        <f t="shared" si="126"/>
        <v>804</v>
      </c>
      <c r="O435" s="203">
        <f t="shared" si="126"/>
        <v>0</v>
      </c>
      <c r="P435" s="203">
        <f t="shared" si="126"/>
        <v>0</v>
      </c>
      <c r="Q435" s="203">
        <f t="shared" si="126"/>
        <v>0</v>
      </c>
      <c r="R435" s="203">
        <f t="shared" si="126"/>
        <v>701</v>
      </c>
      <c r="S435" s="203">
        <f t="shared" si="126"/>
        <v>200</v>
      </c>
      <c r="T435" s="203">
        <f t="shared" si="126"/>
        <v>534</v>
      </c>
      <c r="U435" s="203">
        <f t="shared" si="126"/>
        <v>284</v>
      </c>
      <c r="V435" s="203">
        <f t="shared" si="126"/>
        <v>36</v>
      </c>
      <c r="W435" s="203">
        <f t="shared" si="126"/>
        <v>246</v>
      </c>
      <c r="X435" s="203">
        <f t="shared" si="126"/>
        <v>0</v>
      </c>
      <c r="Y435" s="203">
        <f t="shared" si="126"/>
        <v>0</v>
      </c>
      <c r="Z435" s="203">
        <f t="shared" si="126"/>
        <v>0</v>
      </c>
    </row>
    <row r="436" spans="2:28" x14ac:dyDescent="0.35">
      <c r="C436" s="3"/>
      <c r="D436" s="3"/>
      <c r="E436" s="67"/>
      <c r="F436" s="204" t="b">
        <f t="shared" ref="F436:Z436" si="127">F334=F435</f>
        <v>1</v>
      </c>
      <c r="G436" s="204" t="b">
        <f t="shared" si="127"/>
        <v>1</v>
      </c>
      <c r="H436" s="204" t="b">
        <f t="shared" si="127"/>
        <v>1</v>
      </c>
      <c r="I436" s="204" t="b">
        <f t="shared" si="127"/>
        <v>1</v>
      </c>
      <c r="J436" s="204" t="b">
        <f t="shared" si="127"/>
        <v>1</v>
      </c>
      <c r="K436" s="204" t="b">
        <f t="shared" si="127"/>
        <v>1</v>
      </c>
      <c r="L436" s="204" t="b">
        <f t="shared" si="127"/>
        <v>1</v>
      </c>
      <c r="M436" s="204" t="b">
        <f t="shared" si="127"/>
        <v>1</v>
      </c>
      <c r="N436" s="204" t="b">
        <f t="shared" si="127"/>
        <v>1</v>
      </c>
      <c r="O436" s="204" t="b">
        <f t="shared" si="127"/>
        <v>1</v>
      </c>
      <c r="P436" s="204" t="b">
        <f t="shared" si="127"/>
        <v>1</v>
      </c>
      <c r="Q436" s="204" t="b">
        <f t="shared" si="127"/>
        <v>1</v>
      </c>
      <c r="R436" s="204" t="b">
        <f t="shared" si="127"/>
        <v>1</v>
      </c>
      <c r="S436" s="204" t="b">
        <f t="shared" si="127"/>
        <v>1</v>
      </c>
      <c r="T436" s="204" t="b">
        <f t="shared" si="127"/>
        <v>1</v>
      </c>
      <c r="U436" s="204" t="b">
        <f t="shared" si="127"/>
        <v>1</v>
      </c>
      <c r="V436" s="204" t="b">
        <f t="shared" si="127"/>
        <v>1</v>
      </c>
      <c r="W436" s="204" t="b">
        <f t="shared" si="127"/>
        <v>1</v>
      </c>
      <c r="X436" s="204" t="b">
        <f t="shared" si="127"/>
        <v>1</v>
      </c>
      <c r="Y436" s="204" t="b">
        <f t="shared" si="127"/>
        <v>1</v>
      </c>
      <c r="Z436" s="204" t="b">
        <f t="shared" si="127"/>
        <v>1</v>
      </c>
    </row>
    <row r="437" spans="2:28" x14ac:dyDescent="0.35">
      <c r="C437" s="3"/>
      <c r="D437" s="3"/>
      <c r="E437" s="67"/>
    </row>
    <row r="440" spans="2:28" x14ac:dyDescent="0.35">
      <c r="B440" s="55"/>
    </row>
    <row r="441" spans="2:28" x14ac:dyDescent="0.35">
      <c r="B441" s="56"/>
      <c r="C441" s="57"/>
      <c r="D441" s="57"/>
      <c r="E441" s="68"/>
      <c r="F441" s="40"/>
      <c r="G441" s="40"/>
      <c r="H441" s="40"/>
    </row>
    <row r="442" spans="2:28" x14ac:dyDescent="0.35">
      <c r="B442" s="56"/>
      <c r="C442" s="57"/>
      <c r="D442" s="57"/>
      <c r="E442" s="68"/>
      <c r="F442" s="40"/>
      <c r="G442" s="40"/>
      <c r="H442" s="40"/>
    </row>
    <row r="443" spans="2:28" x14ac:dyDescent="0.35">
      <c r="B443" s="56"/>
      <c r="C443" s="57"/>
      <c r="D443" s="57"/>
      <c r="E443" s="68"/>
      <c r="F443" s="40"/>
      <c r="G443" s="40"/>
      <c r="H443" s="40"/>
    </row>
    <row r="444" spans="2:28" x14ac:dyDescent="0.35">
      <c r="B444" s="56"/>
      <c r="C444" s="57"/>
      <c r="D444" s="57"/>
      <c r="E444" s="68"/>
      <c r="F444" s="40"/>
      <c r="G444" s="40"/>
      <c r="H444" s="40"/>
    </row>
    <row r="445" spans="2:28" x14ac:dyDescent="0.35">
      <c r="B445" s="58"/>
      <c r="H445" s="41"/>
    </row>
    <row r="446" spans="2:28" x14ac:dyDescent="0.35">
      <c r="B446" s="58"/>
      <c r="H446" s="41"/>
    </row>
    <row r="447" spans="2:28" x14ac:dyDescent="0.35">
      <c r="B447" s="55"/>
      <c r="H447" s="41"/>
      <c r="AA447" s="30"/>
    </row>
    <row r="448" spans="2:28" x14ac:dyDescent="0.35">
      <c r="B448" s="338" t="s">
        <v>238</v>
      </c>
      <c r="C448" s="338"/>
      <c r="D448" s="4"/>
      <c r="E448" s="2"/>
      <c r="H448" s="41"/>
    </row>
    <row r="449" spans="2:26" x14ac:dyDescent="0.35">
      <c r="B449" s="337" t="s">
        <v>239</v>
      </c>
      <c r="C449" s="337"/>
      <c r="D449" s="19"/>
      <c r="E449" s="19"/>
      <c r="H449" s="41"/>
    </row>
    <row r="450" spans="2:26" x14ac:dyDescent="0.35">
      <c r="B450" s="59"/>
      <c r="C450" s="59"/>
      <c r="G450" s="42"/>
      <c r="H450" s="43"/>
      <c r="I450" s="42"/>
      <c r="J450" s="42"/>
      <c r="L450" s="42"/>
      <c r="M450" s="42"/>
      <c r="N450" s="42"/>
      <c r="O450" s="42"/>
      <c r="Q450" s="42"/>
      <c r="R450" s="42"/>
      <c r="S450" s="42"/>
      <c r="T450" s="42"/>
      <c r="V450" s="42"/>
      <c r="W450" s="42"/>
      <c r="X450" s="42"/>
      <c r="Y450" s="42"/>
      <c r="Z450" s="42"/>
    </row>
    <row r="451" spans="2:26" x14ac:dyDescent="0.35">
      <c r="B451" s="338" t="s">
        <v>240</v>
      </c>
      <c r="C451" s="338"/>
      <c r="D451" s="4"/>
      <c r="E451" s="2"/>
      <c r="G451" s="336" t="s">
        <v>241</v>
      </c>
      <c r="H451" s="336"/>
      <c r="I451" s="336"/>
      <c r="J451" s="336"/>
      <c r="L451" s="336" t="s">
        <v>242</v>
      </c>
      <c r="M451" s="336"/>
      <c r="N451" s="336"/>
      <c r="O451" s="336"/>
      <c r="Q451" s="336" t="s">
        <v>243</v>
      </c>
      <c r="R451" s="336"/>
      <c r="S451" s="336"/>
      <c r="T451" s="336"/>
      <c r="V451" s="336" t="s">
        <v>244</v>
      </c>
      <c r="W451" s="336"/>
      <c r="X451" s="336"/>
      <c r="Y451" s="336"/>
      <c r="Z451" s="336"/>
    </row>
    <row r="452" spans="2:26" x14ac:dyDescent="0.35">
      <c r="B452" s="337" t="s">
        <v>245</v>
      </c>
      <c r="C452" s="337"/>
      <c r="D452" s="19"/>
      <c r="E452" s="19"/>
      <c r="G452" s="335" t="s">
        <v>246</v>
      </c>
      <c r="H452" s="335"/>
      <c r="I452" s="335"/>
      <c r="J452" s="335"/>
      <c r="K452" s="27"/>
      <c r="L452" s="335" t="s">
        <v>247</v>
      </c>
      <c r="M452" s="335"/>
      <c r="N452" s="335"/>
      <c r="O452" s="335"/>
      <c r="P452" s="27"/>
      <c r="Q452" s="335" t="s">
        <v>247</v>
      </c>
      <c r="R452" s="335"/>
      <c r="S452" s="335"/>
      <c r="T452" s="335"/>
      <c r="U452" s="27"/>
      <c r="V452" s="335" t="s">
        <v>247</v>
      </c>
      <c r="W452" s="335"/>
      <c r="X452" s="335"/>
      <c r="Y452" s="335"/>
      <c r="Z452" s="335"/>
    </row>
    <row r="453" spans="2:26" x14ac:dyDescent="0.35">
      <c r="B453" s="59"/>
      <c r="C453" s="59"/>
      <c r="G453" s="42"/>
      <c r="H453" s="43"/>
      <c r="I453" s="42"/>
      <c r="J453" s="42"/>
      <c r="L453" s="42"/>
      <c r="M453" s="42"/>
      <c r="N453" s="42"/>
      <c r="O453" s="42"/>
      <c r="Q453" s="42"/>
      <c r="R453" s="42"/>
      <c r="S453" s="42"/>
      <c r="T453" s="42"/>
      <c r="V453" s="42"/>
      <c r="W453" s="42"/>
      <c r="X453" s="42"/>
      <c r="Y453" s="42"/>
      <c r="Z453" s="42"/>
    </row>
    <row r="454" spans="2:26" x14ac:dyDescent="0.35">
      <c r="B454" s="344" t="s">
        <v>248</v>
      </c>
      <c r="C454" s="344"/>
      <c r="D454" s="60"/>
      <c r="E454" s="69"/>
      <c r="F454" s="40"/>
      <c r="G454" s="336" t="s">
        <v>249</v>
      </c>
      <c r="H454" s="336"/>
      <c r="I454" s="336"/>
      <c r="J454" s="336"/>
      <c r="L454" s="336" t="s">
        <v>250</v>
      </c>
      <c r="M454" s="336"/>
      <c r="N454" s="336"/>
      <c r="O454" s="336"/>
      <c r="Q454" s="336" t="s">
        <v>251</v>
      </c>
      <c r="R454" s="336"/>
      <c r="S454" s="336"/>
      <c r="T454" s="336"/>
      <c r="V454" s="336" t="s">
        <v>252</v>
      </c>
      <c r="W454" s="336"/>
      <c r="X454" s="336"/>
      <c r="Y454" s="336"/>
      <c r="Z454" s="336"/>
    </row>
    <row r="455" spans="2:26" x14ac:dyDescent="0.35">
      <c r="B455" s="337" t="s">
        <v>253</v>
      </c>
      <c r="C455" s="337"/>
      <c r="D455" s="19"/>
      <c r="E455" s="19"/>
      <c r="G455" s="335" t="s">
        <v>247</v>
      </c>
      <c r="H455" s="335"/>
      <c r="I455" s="335"/>
      <c r="J455" s="335"/>
      <c r="K455" s="27"/>
      <c r="L455" s="335" t="s">
        <v>247</v>
      </c>
      <c r="M455" s="335"/>
      <c r="N455" s="335"/>
      <c r="O455" s="335"/>
      <c r="P455" s="27"/>
      <c r="Q455" s="335" t="s">
        <v>247</v>
      </c>
      <c r="R455" s="335"/>
      <c r="S455" s="335"/>
      <c r="T455" s="335"/>
      <c r="U455" s="27"/>
      <c r="V455" s="335" t="s">
        <v>247</v>
      </c>
      <c r="W455" s="335"/>
      <c r="X455" s="335"/>
      <c r="Y455" s="335"/>
      <c r="Z455" s="335"/>
    </row>
    <row r="456" spans="2:26" x14ac:dyDescent="0.35">
      <c r="B456" s="59"/>
      <c r="C456" s="59"/>
      <c r="G456" s="42"/>
      <c r="H456" s="43"/>
      <c r="I456" s="42"/>
      <c r="J456" s="42"/>
      <c r="L456" s="42"/>
      <c r="M456" s="42"/>
      <c r="N456" s="42"/>
      <c r="O456" s="42"/>
      <c r="Q456" s="42"/>
      <c r="R456" s="42"/>
      <c r="S456" s="42"/>
      <c r="T456" s="42"/>
      <c r="V456" s="42"/>
      <c r="W456" s="42"/>
      <c r="X456" s="42"/>
      <c r="Y456" s="42"/>
      <c r="Z456" s="42"/>
    </row>
    <row r="457" spans="2:26" x14ac:dyDescent="0.35">
      <c r="B457" s="338" t="s">
        <v>254</v>
      </c>
      <c r="C457" s="338"/>
      <c r="D457" s="4"/>
      <c r="E457" s="2"/>
      <c r="G457" s="336" t="s">
        <v>255</v>
      </c>
      <c r="H457" s="336"/>
      <c r="I457" s="336"/>
      <c r="J457" s="336"/>
      <c r="L457" s="336" t="s">
        <v>256</v>
      </c>
      <c r="M457" s="336"/>
      <c r="N457" s="336"/>
      <c r="O457" s="336"/>
      <c r="Q457" s="336" t="s">
        <v>257</v>
      </c>
      <c r="R457" s="336"/>
      <c r="S457" s="336"/>
      <c r="T457" s="336"/>
      <c r="V457" s="336" t="s">
        <v>258</v>
      </c>
      <c r="W457" s="336"/>
      <c r="X457" s="336"/>
      <c r="Y457" s="336"/>
      <c r="Z457" s="336"/>
    </row>
    <row r="458" spans="2:26" x14ac:dyDescent="0.35">
      <c r="B458" s="337" t="s">
        <v>259</v>
      </c>
      <c r="C458" s="337"/>
      <c r="D458" s="19"/>
      <c r="E458" s="19"/>
      <c r="G458" s="335" t="s">
        <v>260</v>
      </c>
      <c r="H458" s="335"/>
      <c r="I458" s="335"/>
      <c r="J458" s="335"/>
      <c r="K458" s="27"/>
      <c r="L458" s="335" t="s">
        <v>247</v>
      </c>
      <c r="M458" s="335"/>
      <c r="N458" s="335"/>
      <c r="O458" s="335"/>
      <c r="P458" s="27"/>
      <c r="Q458" s="335" t="s">
        <v>247</v>
      </c>
      <c r="R458" s="335"/>
      <c r="S458" s="335"/>
      <c r="T458" s="335"/>
      <c r="U458" s="27"/>
      <c r="V458" s="335" t="s">
        <v>261</v>
      </c>
      <c r="W458" s="335"/>
      <c r="X458" s="335"/>
      <c r="Y458" s="335"/>
      <c r="Z458" s="335"/>
    </row>
    <row r="460" spans="2:26" x14ac:dyDescent="0.35">
      <c r="G460" s="343"/>
      <c r="H460" s="343"/>
      <c r="I460" s="343"/>
      <c r="J460" s="343"/>
      <c r="L460" s="343"/>
      <c r="M460" s="343"/>
      <c r="N460" s="343"/>
      <c r="O460" s="343"/>
    </row>
  </sheetData>
  <sheetProtection autoFilter="0"/>
  <autoFilter ref="A3:AE410" xr:uid="{4F784BB6-6A69-476C-83D4-712ACF9A64D4}"/>
  <mergeCells count="136">
    <mergeCell ref="AA396:AA397"/>
    <mergeCell ref="AB396:AB397"/>
    <mergeCell ref="AC396:AC397"/>
    <mergeCell ref="G460:J460"/>
    <mergeCell ref="L460:O460"/>
    <mergeCell ref="B457:C457"/>
    <mergeCell ref="G457:J457"/>
    <mergeCell ref="L457:O457"/>
    <mergeCell ref="Q457:T457"/>
    <mergeCell ref="V457:Z457"/>
    <mergeCell ref="B458:C458"/>
    <mergeCell ref="G458:J458"/>
    <mergeCell ref="L458:O458"/>
    <mergeCell ref="Q458:T458"/>
    <mergeCell ref="V458:Z458"/>
    <mergeCell ref="B454:C454"/>
    <mergeCell ref="G454:J454"/>
    <mergeCell ref="L454:O454"/>
    <mergeCell ref="Q454:T454"/>
    <mergeCell ref="V454:Z454"/>
    <mergeCell ref="B455:C455"/>
    <mergeCell ref="G455:J455"/>
    <mergeCell ref="L455:O455"/>
    <mergeCell ref="Q455:T455"/>
    <mergeCell ref="V455:Z455"/>
    <mergeCell ref="V451:Z451"/>
    <mergeCell ref="B452:C452"/>
    <mergeCell ref="G452:J452"/>
    <mergeCell ref="L452:O452"/>
    <mergeCell ref="Q452:T452"/>
    <mergeCell ref="V452:Z452"/>
    <mergeCell ref="Q451:T451"/>
    <mergeCell ref="B448:C448"/>
    <mergeCell ref="B449:C449"/>
    <mergeCell ref="B451:C451"/>
    <mergeCell ref="G451:J451"/>
    <mergeCell ref="L451:O451"/>
    <mergeCell ref="B431:C431"/>
    <mergeCell ref="F431:H431"/>
    <mergeCell ref="I431:K431"/>
    <mergeCell ref="L431:N431"/>
    <mergeCell ref="O431:Q431"/>
    <mergeCell ref="R431:T431"/>
    <mergeCell ref="U431:W431"/>
    <mergeCell ref="X431:Z431"/>
    <mergeCell ref="F414:H414"/>
    <mergeCell ref="I414:K414"/>
    <mergeCell ref="L414:N414"/>
    <mergeCell ref="O414:Q414"/>
    <mergeCell ref="R414:T414"/>
    <mergeCell ref="U414:W414"/>
    <mergeCell ref="U410:W410"/>
    <mergeCell ref="X410:Z410"/>
    <mergeCell ref="B413:C414"/>
    <mergeCell ref="F413:H413"/>
    <mergeCell ref="I413:K413"/>
    <mergeCell ref="L413:N413"/>
    <mergeCell ref="O413:Q413"/>
    <mergeCell ref="R413:T413"/>
    <mergeCell ref="U413:W413"/>
    <mergeCell ref="X413:Z413"/>
    <mergeCell ref="B410:C410"/>
    <mergeCell ref="F410:H410"/>
    <mergeCell ref="I410:K410"/>
    <mergeCell ref="L410:N410"/>
    <mergeCell ref="O410:Q410"/>
    <mergeCell ref="R410:T410"/>
    <mergeCell ref="X414:Z414"/>
    <mergeCell ref="O1:Q1"/>
    <mergeCell ref="R1:T1"/>
    <mergeCell ref="U1:W1"/>
    <mergeCell ref="X1:Z1"/>
    <mergeCell ref="F2:H2"/>
    <mergeCell ref="F1:H1"/>
    <mergeCell ref="I1:K1"/>
    <mergeCell ref="L1:N1"/>
    <mergeCell ref="B1:B2"/>
    <mergeCell ref="C1:C2"/>
    <mergeCell ref="X2:Z2"/>
    <mergeCell ref="I2:K2"/>
    <mergeCell ref="L2:N2"/>
    <mergeCell ref="O2:Q2"/>
    <mergeCell ref="R2:T2"/>
    <mergeCell ref="U2:W2"/>
    <mergeCell ref="F339:H339"/>
    <mergeCell ref="I339:K339"/>
    <mergeCell ref="L339:N339"/>
    <mergeCell ref="B338:B340"/>
    <mergeCell ref="C338:C340"/>
    <mergeCell ref="F338:H338"/>
    <mergeCell ref="I338:K338"/>
    <mergeCell ref="L338:N338"/>
    <mergeCell ref="AA339:AC339"/>
    <mergeCell ref="O338:Q338"/>
    <mergeCell ref="R338:T338"/>
    <mergeCell ref="U338:W338"/>
    <mergeCell ref="X338:Z338"/>
    <mergeCell ref="O339:Q339"/>
    <mergeCell ref="R339:T339"/>
    <mergeCell ref="U339:W339"/>
    <mergeCell ref="X339:Z339"/>
    <mergeCell ref="E15:E21"/>
    <mergeCell ref="E4:E14"/>
    <mergeCell ref="E35:E37"/>
    <mergeCell ref="E24:E34"/>
    <mergeCell ref="E22:E23"/>
    <mergeCell ref="E38:E44"/>
    <mergeCell ref="E56:E70"/>
    <mergeCell ref="E45:E55"/>
    <mergeCell ref="E76:E81"/>
    <mergeCell ref="E71:E75"/>
    <mergeCell ref="E82:E83"/>
    <mergeCell ref="E198:E234"/>
    <mergeCell ref="E196:E197"/>
    <mergeCell ref="E192:E195"/>
    <mergeCell ref="E92:E96"/>
    <mergeCell ref="E84:E91"/>
    <mergeCell ref="E107:E114"/>
    <mergeCell ref="E97:E106"/>
    <mergeCell ref="E125:E130"/>
    <mergeCell ref="E119:E124"/>
    <mergeCell ref="E115:E118"/>
    <mergeCell ref="E137:E141"/>
    <mergeCell ref="E131:E136"/>
    <mergeCell ref="E235:E270"/>
    <mergeCell ref="E271:E283"/>
    <mergeCell ref="E311:E317"/>
    <mergeCell ref="E284:E310"/>
    <mergeCell ref="E318:E323"/>
    <mergeCell ref="E142:E146"/>
    <mergeCell ref="E147:E172"/>
    <mergeCell ref="E175:E178"/>
    <mergeCell ref="E173:E174"/>
    <mergeCell ref="E190:E191"/>
    <mergeCell ref="E188:E189"/>
    <mergeCell ref="E179:E187"/>
  </mergeCells>
  <phoneticPr fontId="14" type="noConversion"/>
  <conditionalFormatting sqref="AB4:AB333">
    <cfRule type="expression" dxfId="6" priority="481">
      <formula>MOD($AB4,$AC4)&lt;&gt;0</formula>
    </cfRule>
  </conditionalFormatting>
  <conditionalFormatting sqref="AC341:AD396">
    <cfRule type="containsText" dxfId="5" priority="7" operator="containsText" text="6D">
      <formula>NOT(ISERROR(SEARCH("6D",AC341)))</formula>
    </cfRule>
    <cfRule type="containsText" dxfId="4" priority="8" operator="containsText" text="5D">
      <formula>NOT(ISERROR(SEARCH("5D",AC341)))</formula>
    </cfRule>
    <cfRule type="containsText" dxfId="3" priority="9" operator="containsText" text="OVER CAPACITY">
      <formula>NOT(ISERROR(SEARCH("OVER CAPACITY",AC341)))</formula>
    </cfRule>
  </conditionalFormatting>
  <conditionalFormatting sqref="AC398:AD409">
    <cfRule type="containsText" dxfId="2" priority="1" operator="containsText" text="6D">
      <formula>NOT(ISERROR(SEARCH("6D",AC398)))</formula>
    </cfRule>
    <cfRule type="containsText" dxfId="1" priority="2" operator="containsText" text="5D">
      <formula>NOT(ISERROR(SEARCH("5D",AC398)))</formula>
    </cfRule>
    <cfRule type="containsText" dxfId="0" priority="3" operator="containsText" text="OVER CAPACITY">
      <formula>NOT(ISERROR(SEARCH("OVER CAPACITY",AC398)))</formula>
    </cfRule>
  </conditionalFormatting>
  <pageMargins left="0.7" right="0.7" top="0.75" bottom="0.75" header="0.3" footer="0.3"/>
  <pageSetup orientation="portrait" horizontalDpi="4294967293" r:id="rId1"/>
  <headerFooter>
    <oddFooter>&amp;R&amp;R &amp;KFF0000Confidential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C954-5451-4E28-8640-1379732603B3}">
  <dimension ref="B2:AK164"/>
  <sheetViews>
    <sheetView tabSelected="1" zoomScale="70" zoomScaleNormal="70" workbookViewId="0">
      <pane xSplit="5" ySplit="4" topLeftCell="I5" activePane="bottomRight" state="frozen"/>
      <selection pane="topRight" activeCell="E1" sqref="E1"/>
      <selection pane="bottomLeft" activeCell="A5" sqref="A5"/>
      <selection pane="bottomRight" activeCell="K11" sqref="K11"/>
    </sheetView>
  </sheetViews>
  <sheetFormatPr defaultColWidth="8.81640625" defaultRowHeight="14.5" x14ac:dyDescent="0.35"/>
  <cols>
    <col min="1" max="1" width="2.54296875" style="1" customWidth="1"/>
    <col min="2" max="2" width="20.81640625" style="1" bestFit="1" customWidth="1"/>
    <col min="3" max="3" width="14.1796875" style="1" hidden="1" customWidth="1"/>
    <col min="4" max="4" width="14.1796875" style="1" customWidth="1"/>
    <col min="5" max="5" width="11.7265625" style="1" customWidth="1"/>
    <col min="6" max="26" width="8.81640625" style="1"/>
    <col min="27" max="27" width="7.1796875" style="1" customWidth="1"/>
    <col min="28" max="16384" width="8.81640625" style="1"/>
  </cols>
  <sheetData>
    <row r="2" spans="2:27" ht="13.15" customHeight="1" x14ac:dyDescent="0.35">
      <c r="B2" s="277" t="s">
        <v>262</v>
      </c>
      <c r="C2" s="278" t="s">
        <v>263</v>
      </c>
      <c r="D2" s="271"/>
      <c r="E2" s="278" t="s">
        <v>263</v>
      </c>
      <c r="F2" s="276" cm="1">
        <f t="array" ref="F2">'Production Plan_wk33'!F1:F1</f>
        <v>46237</v>
      </c>
      <c r="G2" s="279"/>
      <c r="H2" s="279"/>
      <c r="I2" s="276">
        <f>F2+1</f>
        <v>46238</v>
      </c>
      <c r="J2" s="276"/>
      <c r="K2" s="276"/>
      <c r="L2" s="276">
        <f>I2+1</f>
        <v>46239</v>
      </c>
      <c r="M2" s="276"/>
      <c r="N2" s="276"/>
      <c r="O2" s="276">
        <f>L2+1</f>
        <v>46240</v>
      </c>
      <c r="P2" s="276"/>
      <c r="Q2" s="276"/>
      <c r="R2" s="276">
        <f>O2+1</f>
        <v>46241</v>
      </c>
      <c r="S2" s="276"/>
      <c r="T2" s="276"/>
      <c r="U2" s="276">
        <f>R2+1</f>
        <v>46242</v>
      </c>
      <c r="V2" s="276"/>
      <c r="W2" s="276"/>
      <c r="X2" s="276">
        <f>U2+1</f>
        <v>46243</v>
      </c>
      <c r="Y2" s="276"/>
      <c r="Z2" s="276"/>
      <c r="AA2" s="280"/>
    </row>
    <row r="3" spans="2:27" x14ac:dyDescent="0.35">
      <c r="B3" s="277"/>
      <c r="C3" s="278"/>
      <c r="D3" s="271" t="s">
        <v>534</v>
      </c>
      <c r="E3" s="278"/>
      <c r="F3" s="279" t="s">
        <v>1</v>
      </c>
      <c r="G3" s="279"/>
      <c r="H3" s="279"/>
      <c r="I3" s="279" t="s">
        <v>2</v>
      </c>
      <c r="J3" s="279"/>
      <c r="K3" s="279"/>
      <c r="L3" s="279" t="s">
        <v>3</v>
      </c>
      <c r="M3" s="279"/>
      <c r="N3" s="279"/>
      <c r="O3" s="279" t="s">
        <v>4</v>
      </c>
      <c r="P3" s="279"/>
      <c r="Q3" s="279"/>
      <c r="R3" s="279" t="s">
        <v>5</v>
      </c>
      <c r="S3" s="279"/>
      <c r="T3" s="279"/>
      <c r="U3" s="279" t="s">
        <v>6</v>
      </c>
      <c r="V3" s="279"/>
      <c r="W3" s="279"/>
      <c r="X3" s="279" t="s">
        <v>7</v>
      </c>
      <c r="Y3" s="279"/>
      <c r="Z3" s="279"/>
      <c r="AA3" s="280"/>
    </row>
    <row r="4" spans="2:27" x14ac:dyDescent="0.35">
      <c r="B4" s="277"/>
      <c r="C4" s="278"/>
      <c r="D4" s="271"/>
      <c r="E4" s="278"/>
      <c r="F4" s="7" t="s">
        <v>10</v>
      </c>
      <c r="G4" s="8" t="s">
        <v>11</v>
      </c>
      <c r="H4" s="9" t="s">
        <v>12</v>
      </c>
      <c r="I4" s="7" t="s">
        <v>10</v>
      </c>
      <c r="J4" s="8" t="s">
        <v>11</v>
      </c>
      <c r="K4" s="9" t="s">
        <v>12</v>
      </c>
      <c r="L4" s="7" t="s">
        <v>10</v>
      </c>
      <c r="M4" s="8" t="s">
        <v>11</v>
      </c>
      <c r="N4" s="9" t="s">
        <v>12</v>
      </c>
      <c r="O4" s="7" t="s">
        <v>10</v>
      </c>
      <c r="P4" s="8" t="s">
        <v>11</v>
      </c>
      <c r="Q4" s="9" t="s">
        <v>12</v>
      </c>
      <c r="R4" s="7" t="s">
        <v>10</v>
      </c>
      <c r="S4" s="8" t="s">
        <v>11</v>
      </c>
      <c r="T4" s="9" t="s">
        <v>12</v>
      </c>
      <c r="U4" s="7" t="s">
        <v>10</v>
      </c>
      <c r="V4" s="8" t="s">
        <v>11</v>
      </c>
      <c r="W4" s="9" t="s">
        <v>12</v>
      </c>
      <c r="X4" s="7" t="s">
        <v>10</v>
      </c>
      <c r="Y4" s="8" t="s">
        <v>11</v>
      </c>
      <c r="Z4" s="9" t="s">
        <v>12</v>
      </c>
      <c r="AA4" s="280"/>
    </row>
    <row r="5" spans="2:27" x14ac:dyDescent="0.35">
      <c r="B5" s="10" t="s">
        <v>209</v>
      </c>
      <c r="C5" s="11"/>
      <c r="D5" s="273" t="s">
        <v>533</v>
      </c>
      <c r="E5" s="122">
        <f t="shared" ref="E5:E72" si="0">SUM(F5:Z5)</f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3">
        <v>0</v>
      </c>
      <c r="Y5" s="123">
        <v>0</v>
      </c>
      <c r="Z5" s="123">
        <v>0</v>
      </c>
      <c r="AA5" s="3" t="b">
        <f>E5='Production Plan_wk33'!C341</f>
        <v>1</v>
      </c>
    </row>
    <row r="6" spans="2:27" x14ac:dyDescent="0.35">
      <c r="B6" s="272" t="s">
        <v>210</v>
      </c>
      <c r="C6" s="11"/>
      <c r="D6" s="273" t="s">
        <v>535</v>
      </c>
      <c r="E6" s="122">
        <f t="shared" si="0"/>
        <v>0</v>
      </c>
      <c r="F6" s="120">
        <v>0</v>
      </c>
      <c r="G6" s="120">
        <v>0</v>
      </c>
      <c r="H6" s="120">
        <v>0</v>
      </c>
      <c r="I6" s="120">
        <v>0</v>
      </c>
      <c r="J6" s="120">
        <v>0</v>
      </c>
      <c r="K6" s="120">
        <v>0</v>
      </c>
      <c r="L6" s="120">
        <v>0</v>
      </c>
      <c r="M6" s="120">
        <v>0</v>
      </c>
      <c r="N6" s="120">
        <v>0</v>
      </c>
      <c r="O6" s="120">
        <v>0</v>
      </c>
      <c r="P6" s="120">
        <v>0</v>
      </c>
      <c r="Q6" s="120">
        <v>0</v>
      </c>
      <c r="R6" s="120">
        <v>0</v>
      </c>
      <c r="S6" s="120">
        <v>0</v>
      </c>
      <c r="T6" s="120">
        <v>0</v>
      </c>
      <c r="U6" s="120">
        <v>0</v>
      </c>
      <c r="V6" s="120">
        <v>0</v>
      </c>
      <c r="W6" s="120">
        <v>0</v>
      </c>
      <c r="X6" s="123">
        <v>0</v>
      </c>
      <c r="Y6" s="123">
        <v>0</v>
      </c>
      <c r="Z6" s="123">
        <v>0</v>
      </c>
      <c r="AA6" s="3" t="b">
        <f>E6='Production Plan_wk33'!C342</f>
        <v>1</v>
      </c>
    </row>
    <row r="7" spans="2:27" x14ac:dyDescent="0.35">
      <c r="B7" s="10" t="s">
        <v>211</v>
      </c>
      <c r="C7" s="11"/>
      <c r="D7" s="273" t="s">
        <v>536</v>
      </c>
      <c r="E7" s="122">
        <f t="shared" si="0"/>
        <v>0</v>
      </c>
      <c r="F7" s="120">
        <v>0</v>
      </c>
      <c r="G7" s="120">
        <v>0</v>
      </c>
      <c r="H7" s="120">
        <v>0</v>
      </c>
      <c r="I7" s="120">
        <v>0</v>
      </c>
      <c r="J7" s="120">
        <v>0</v>
      </c>
      <c r="K7" s="120">
        <v>0</v>
      </c>
      <c r="L7" s="120">
        <v>0</v>
      </c>
      <c r="M7" s="120">
        <v>0</v>
      </c>
      <c r="N7" s="120">
        <v>0</v>
      </c>
      <c r="O7" s="120">
        <v>0</v>
      </c>
      <c r="P7" s="120">
        <v>0</v>
      </c>
      <c r="Q7" s="120">
        <v>0</v>
      </c>
      <c r="R7" s="120">
        <v>0</v>
      </c>
      <c r="S7" s="120">
        <v>0</v>
      </c>
      <c r="T7" s="120">
        <v>0</v>
      </c>
      <c r="U7" s="120">
        <v>0</v>
      </c>
      <c r="V7" s="120">
        <v>0</v>
      </c>
      <c r="W7" s="120">
        <v>0</v>
      </c>
      <c r="X7" s="123">
        <v>0</v>
      </c>
      <c r="Y7" s="123">
        <v>0</v>
      </c>
      <c r="Z7" s="123">
        <v>0</v>
      </c>
      <c r="AA7" s="3" t="b">
        <f>E7='Production Plan_wk33'!C343</f>
        <v>1</v>
      </c>
    </row>
    <row r="8" spans="2:27" x14ac:dyDescent="0.35">
      <c r="B8" s="10" t="s">
        <v>400</v>
      </c>
      <c r="C8" s="11"/>
      <c r="D8" s="273" t="s">
        <v>537</v>
      </c>
      <c r="E8" s="122">
        <f t="shared" si="0"/>
        <v>80</v>
      </c>
      <c r="F8" s="120">
        <v>0</v>
      </c>
      <c r="G8" s="120">
        <v>0</v>
      </c>
      <c r="H8" s="120">
        <v>80</v>
      </c>
      <c r="I8" s="120">
        <v>0</v>
      </c>
      <c r="J8" s="120">
        <v>0</v>
      </c>
      <c r="K8" s="120">
        <v>0</v>
      </c>
      <c r="L8" s="120">
        <v>0</v>
      </c>
      <c r="M8" s="120">
        <v>0</v>
      </c>
      <c r="N8" s="120">
        <v>0</v>
      </c>
      <c r="O8" s="120">
        <v>0</v>
      </c>
      <c r="P8" s="120">
        <v>0</v>
      </c>
      <c r="Q8" s="120">
        <v>0</v>
      </c>
      <c r="R8" s="120">
        <v>0</v>
      </c>
      <c r="S8" s="120">
        <v>0</v>
      </c>
      <c r="T8" s="120">
        <v>0</v>
      </c>
      <c r="U8" s="120">
        <v>0</v>
      </c>
      <c r="V8" s="120">
        <v>0</v>
      </c>
      <c r="W8" s="120">
        <v>0</v>
      </c>
      <c r="X8" s="123">
        <v>0</v>
      </c>
      <c r="Y8" s="123">
        <v>0</v>
      </c>
      <c r="Z8" s="123">
        <v>0</v>
      </c>
      <c r="AA8" s="3" t="b">
        <f>E8='Production Plan_wk33'!C344</f>
        <v>1</v>
      </c>
    </row>
    <row r="9" spans="2:27" x14ac:dyDescent="0.35">
      <c r="B9" s="10" t="s">
        <v>401</v>
      </c>
      <c r="C9" s="11"/>
      <c r="D9" s="273" t="s">
        <v>537</v>
      </c>
      <c r="E9" s="122">
        <f>SUM(F9:Z9)</f>
        <v>1800</v>
      </c>
      <c r="F9" s="120">
        <v>0</v>
      </c>
      <c r="G9" s="120">
        <v>123</v>
      </c>
      <c r="H9" s="120">
        <v>166</v>
      </c>
      <c r="I9" s="120">
        <v>0</v>
      </c>
      <c r="J9" s="120">
        <v>123</v>
      </c>
      <c r="K9" s="120">
        <v>246</v>
      </c>
      <c r="L9" s="120">
        <v>0</v>
      </c>
      <c r="M9" s="120">
        <v>123</v>
      </c>
      <c r="N9" s="120">
        <v>246</v>
      </c>
      <c r="O9" s="120">
        <v>0</v>
      </c>
      <c r="P9" s="120">
        <v>0</v>
      </c>
      <c r="Q9" s="120">
        <v>0</v>
      </c>
      <c r="R9" s="120">
        <v>76</v>
      </c>
      <c r="S9" s="120">
        <v>123</v>
      </c>
      <c r="T9" s="120">
        <v>246</v>
      </c>
      <c r="U9" s="120">
        <v>82</v>
      </c>
      <c r="V9" s="120">
        <v>0</v>
      </c>
      <c r="W9" s="120">
        <v>246</v>
      </c>
      <c r="X9" s="123">
        <v>0</v>
      </c>
      <c r="Y9" s="123">
        <v>0</v>
      </c>
      <c r="Z9" s="123">
        <v>0</v>
      </c>
      <c r="AA9" s="3" t="b">
        <f>E9='Production Plan_wk33'!C345</f>
        <v>1</v>
      </c>
    </row>
    <row r="10" spans="2:27" x14ac:dyDescent="0.35">
      <c r="B10" s="10" t="s">
        <v>402</v>
      </c>
      <c r="C10" s="11"/>
      <c r="D10" s="273" t="s">
        <v>538</v>
      </c>
      <c r="E10" s="122">
        <f>SUM(F10:Z10)</f>
        <v>774</v>
      </c>
      <c r="F10" s="120">
        <v>84</v>
      </c>
      <c r="G10" s="120">
        <v>72</v>
      </c>
      <c r="H10" s="120">
        <v>0</v>
      </c>
      <c r="I10" s="120">
        <v>105</v>
      </c>
      <c r="J10" s="120">
        <v>56</v>
      </c>
      <c r="K10" s="120">
        <v>0</v>
      </c>
      <c r="L10" s="120">
        <v>164</v>
      </c>
      <c r="M10" s="120">
        <v>82</v>
      </c>
      <c r="N10" s="120">
        <v>0</v>
      </c>
      <c r="O10" s="120">
        <v>0</v>
      </c>
      <c r="P10" s="120">
        <v>0</v>
      </c>
      <c r="Q10" s="120">
        <v>0</v>
      </c>
      <c r="R10" s="120">
        <v>88</v>
      </c>
      <c r="S10" s="120">
        <v>41</v>
      </c>
      <c r="T10" s="120">
        <v>0</v>
      </c>
      <c r="U10" s="120">
        <v>82</v>
      </c>
      <c r="V10" s="120">
        <v>0</v>
      </c>
      <c r="W10" s="120">
        <v>0</v>
      </c>
      <c r="X10" s="123">
        <v>0</v>
      </c>
      <c r="Y10" s="123">
        <v>0</v>
      </c>
      <c r="Z10" s="123">
        <v>0</v>
      </c>
      <c r="AA10" s="3" t="b">
        <f>E10='Production Plan_wk33'!C346</f>
        <v>1</v>
      </c>
    </row>
    <row r="11" spans="2:27" x14ac:dyDescent="0.35">
      <c r="B11" s="10" t="s">
        <v>137</v>
      </c>
      <c r="C11" s="11"/>
      <c r="D11" s="273" t="s">
        <v>539</v>
      </c>
      <c r="E11" s="122">
        <f t="shared" si="0"/>
        <v>0</v>
      </c>
      <c r="F11" s="120">
        <v>0</v>
      </c>
      <c r="G11" s="120">
        <v>0</v>
      </c>
      <c r="H11" s="120">
        <v>0</v>
      </c>
      <c r="I11" s="120">
        <v>0</v>
      </c>
      <c r="J11" s="120">
        <v>0</v>
      </c>
      <c r="K11" s="120">
        <v>0</v>
      </c>
      <c r="L11" s="120">
        <v>0</v>
      </c>
      <c r="M11" s="120">
        <v>0</v>
      </c>
      <c r="N11" s="120">
        <v>0</v>
      </c>
      <c r="O11" s="120">
        <v>0</v>
      </c>
      <c r="P11" s="120">
        <v>0</v>
      </c>
      <c r="Q11" s="120">
        <v>0</v>
      </c>
      <c r="R11" s="120">
        <v>0</v>
      </c>
      <c r="S11" s="120">
        <v>0</v>
      </c>
      <c r="T11" s="120">
        <v>0</v>
      </c>
      <c r="U11" s="120">
        <v>0</v>
      </c>
      <c r="V11" s="120">
        <v>0</v>
      </c>
      <c r="W11" s="120">
        <v>0</v>
      </c>
      <c r="X11" s="123">
        <v>0</v>
      </c>
      <c r="Y11" s="123">
        <v>0</v>
      </c>
      <c r="Z11" s="123">
        <v>0</v>
      </c>
      <c r="AA11" s="3" t="b">
        <f>E11='Production Plan_wk33'!C347</f>
        <v>1</v>
      </c>
    </row>
    <row r="12" spans="2:27" x14ac:dyDescent="0.35">
      <c r="B12" s="10" t="s">
        <v>139</v>
      </c>
      <c r="C12" s="11"/>
      <c r="D12" s="273" t="s">
        <v>539</v>
      </c>
      <c r="E12" s="122">
        <f t="shared" si="0"/>
        <v>0</v>
      </c>
      <c r="F12" s="120">
        <v>0</v>
      </c>
      <c r="G12" s="120">
        <v>0</v>
      </c>
      <c r="H12" s="120">
        <v>0</v>
      </c>
      <c r="I12" s="120">
        <v>0</v>
      </c>
      <c r="J12" s="120">
        <v>0</v>
      </c>
      <c r="K12" s="120">
        <v>0</v>
      </c>
      <c r="L12" s="120">
        <v>0</v>
      </c>
      <c r="M12" s="120">
        <v>0</v>
      </c>
      <c r="N12" s="120">
        <v>0</v>
      </c>
      <c r="O12" s="120">
        <v>0</v>
      </c>
      <c r="P12" s="120">
        <v>0</v>
      </c>
      <c r="Q12" s="120">
        <v>0</v>
      </c>
      <c r="R12" s="120">
        <v>0</v>
      </c>
      <c r="S12" s="120">
        <v>0</v>
      </c>
      <c r="T12" s="120">
        <v>0</v>
      </c>
      <c r="U12" s="120">
        <v>0</v>
      </c>
      <c r="V12" s="120">
        <v>0</v>
      </c>
      <c r="W12" s="120">
        <v>0</v>
      </c>
      <c r="X12" s="123">
        <v>0</v>
      </c>
      <c r="Y12" s="123">
        <v>0</v>
      </c>
      <c r="Z12" s="123">
        <v>0</v>
      </c>
      <c r="AA12" s="3" t="b">
        <f>E12='Production Plan_wk33'!C348</f>
        <v>1</v>
      </c>
    </row>
    <row r="13" spans="2:27" x14ac:dyDescent="0.35">
      <c r="B13" s="10" t="s">
        <v>306</v>
      </c>
      <c r="C13" s="11"/>
      <c r="D13" s="273" t="s">
        <v>540</v>
      </c>
      <c r="E13" s="122">
        <f t="shared" si="0"/>
        <v>0</v>
      </c>
      <c r="F13" s="120">
        <v>0</v>
      </c>
      <c r="G13" s="120">
        <v>0</v>
      </c>
      <c r="H13" s="120">
        <v>0</v>
      </c>
      <c r="I13" s="120">
        <v>0</v>
      </c>
      <c r="J13" s="120">
        <v>0</v>
      </c>
      <c r="K13" s="120">
        <v>0</v>
      </c>
      <c r="L13" s="120">
        <v>0</v>
      </c>
      <c r="M13" s="120">
        <v>0</v>
      </c>
      <c r="N13" s="120">
        <v>0</v>
      </c>
      <c r="O13" s="120">
        <v>0</v>
      </c>
      <c r="P13" s="120">
        <v>0</v>
      </c>
      <c r="Q13" s="120">
        <v>0</v>
      </c>
      <c r="R13" s="120">
        <v>0</v>
      </c>
      <c r="S13" s="120">
        <v>0</v>
      </c>
      <c r="T13" s="120">
        <v>0</v>
      </c>
      <c r="U13" s="120">
        <v>0</v>
      </c>
      <c r="V13" s="120">
        <v>0</v>
      </c>
      <c r="W13" s="120">
        <v>0</v>
      </c>
      <c r="X13" s="123">
        <v>0</v>
      </c>
      <c r="Y13" s="123">
        <v>0</v>
      </c>
      <c r="Z13" s="123">
        <v>0</v>
      </c>
      <c r="AA13" s="3" t="b">
        <f>E13='Production Plan_wk33'!C349</f>
        <v>1</v>
      </c>
    </row>
    <row r="14" spans="2:27" x14ac:dyDescent="0.35">
      <c r="B14" s="10" t="s">
        <v>307</v>
      </c>
      <c r="C14" s="11"/>
      <c r="D14" s="273" t="s">
        <v>541</v>
      </c>
      <c r="E14" s="122">
        <f t="shared" si="0"/>
        <v>0</v>
      </c>
      <c r="F14" s="120">
        <v>0</v>
      </c>
      <c r="G14" s="120">
        <v>0</v>
      </c>
      <c r="H14" s="120">
        <v>0</v>
      </c>
      <c r="I14" s="120">
        <v>0</v>
      </c>
      <c r="J14" s="120">
        <v>0</v>
      </c>
      <c r="K14" s="120">
        <v>0</v>
      </c>
      <c r="L14" s="120">
        <v>0</v>
      </c>
      <c r="M14" s="120">
        <v>0</v>
      </c>
      <c r="N14" s="120">
        <v>0</v>
      </c>
      <c r="O14" s="120">
        <v>0</v>
      </c>
      <c r="P14" s="120">
        <v>0</v>
      </c>
      <c r="Q14" s="120">
        <v>0</v>
      </c>
      <c r="R14" s="120">
        <v>0</v>
      </c>
      <c r="S14" s="120">
        <v>0</v>
      </c>
      <c r="T14" s="120">
        <v>0</v>
      </c>
      <c r="U14" s="120">
        <v>0</v>
      </c>
      <c r="V14" s="120">
        <v>0</v>
      </c>
      <c r="W14" s="120">
        <v>0</v>
      </c>
      <c r="X14" s="123">
        <v>0</v>
      </c>
      <c r="Y14" s="123">
        <v>0</v>
      </c>
      <c r="Z14" s="123">
        <v>0</v>
      </c>
      <c r="AA14" s="3" t="b">
        <f>E14='Production Plan_wk33'!C350</f>
        <v>1</v>
      </c>
    </row>
    <row r="15" spans="2:27" x14ac:dyDescent="0.35">
      <c r="B15" s="10" t="s">
        <v>88</v>
      </c>
      <c r="C15" s="11"/>
      <c r="D15" s="273" t="s">
        <v>542</v>
      </c>
      <c r="E15" s="122">
        <f t="shared" si="0"/>
        <v>0</v>
      </c>
      <c r="F15" s="120">
        <v>0</v>
      </c>
      <c r="G15" s="120">
        <v>0</v>
      </c>
      <c r="H15" s="120">
        <v>0</v>
      </c>
      <c r="I15" s="120">
        <v>0</v>
      </c>
      <c r="J15" s="120">
        <v>0</v>
      </c>
      <c r="K15" s="120">
        <v>0</v>
      </c>
      <c r="L15" s="120">
        <v>0</v>
      </c>
      <c r="M15" s="120">
        <v>0</v>
      </c>
      <c r="N15" s="120">
        <v>0</v>
      </c>
      <c r="O15" s="120">
        <v>0</v>
      </c>
      <c r="P15" s="120">
        <v>0</v>
      </c>
      <c r="Q15" s="120">
        <v>0</v>
      </c>
      <c r="R15" s="120">
        <v>0</v>
      </c>
      <c r="S15" s="120">
        <v>0</v>
      </c>
      <c r="T15" s="120">
        <v>0</v>
      </c>
      <c r="U15" s="120">
        <v>0</v>
      </c>
      <c r="V15" s="120">
        <v>0</v>
      </c>
      <c r="W15" s="120">
        <v>0</v>
      </c>
      <c r="X15" s="123">
        <v>0</v>
      </c>
      <c r="Y15" s="123">
        <v>0</v>
      </c>
      <c r="Z15" s="123">
        <v>0</v>
      </c>
      <c r="AA15" s="3" t="b">
        <f>E15='Production Plan_wk33'!C351</f>
        <v>1</v>
      </c>
    </row>
    <row r="16" spans="2:27" x14ac:dyDescent="0.35">
      <c r="B16" s="10" t="s">
        <v>212</v>
      </c>
      <c r="C16" s="11"/>
      <c r="D16" s="273" t="s">
        <v>543</v>
      </c>
      <c r="E16" s="122">
        <f t="shared" si="0"/>
        <v>810</v>
      </c>
      <c r="F16" s="120">
        <v>135</v>
      </c>
      <c r="G16" s="120">
        <v>0</v>
      </c>
      <c r="H16" s="120">
        <v>135</v>
      </c>
      <c r="I16" s="120">
        <v>135</v>
      </c>
      <c r="J16" s="120">
        <v>0</v>
      </c>
      <c r="K16" s="120">
        <v>135</v>
      </c>
      <c r="L16" s="120">
        <v>135</v>
      </c>
      <c r="M16" s="120">
        <v>0</v>
      </c>
      <c r="N16" s="120">
        <v>135</v>
      </c>
      <c r="O16" s="120">
        <v>0</v>
      </c>
      <c r="P16" s="120">
        <v>0</v>
      </c>
      <c r="Q16" s="120">
        <v>0</v>
      </c>
      <c r="R16" s="120">
        <v>0</v>
      </c>
      <c r="S16" s="120">
        <v>0</v>
      </c>
      <c r="T16" s="120">
        <v>0</v>
      </c>
      <c r="U16" s="120">
        <v>0</v>
      </c>
      <c r="V16" s="120">
        <v>0</v>
      </c>
      <c r="W16" s="120">
        <v>0</v>
      </c>
      <c r="X16" s="123">
        <v>0</v>
      </c>
      <c r="Y16" s="123">
        <v>0</v>
      </c>
      <c r="Z16" s="123">
        <v>0</v>
      </c>
      <c r="AA16" s="3" t="b">
        <f>E16='Production Plan_wk33'!C352</f>
        <v>1</v>
      </c>
    </row>
    <row r="17" spans="2:27" x14ac:dyDescent="0.35">
      <c r="B17" s="10" t="s">
        <v>213</v>
      </c>
      <c r="C17" s="11"/>
      <c r="D17" s="273" t="s">
        <v>544</v>
      </c>
      <c r="E17" s="122">
        <f t="shared" si="0"/>
        <v>0</v>
      </c>
      <c r="F17" s="120">
        <v>0</v>
      </c>
      <c r="G17" s="120">
        <v>0</v>
      </c>
      <c r="H17" s="120">
        <v>0</v>
      </c>
      <c r="I17" s="120">
        <v>0</v>
      </c>
      <c r="J17" s="120">
        <v>0</v>
      </c>
      <c r="K17" s="120">
        <v>0</v>
      </c>
      <c r="L17" s="120">
        <v>0</v>
      </c>
      <c r="M17" s="120">
        <v>0</v>
      </c>
      <c r="N17" s="120">
        <v>0</v>
      </c>
      <c r="O17" s="120">
        <v>0</v>
      </c>
      <c r="P17" s="120">
        <v>0</v>
      </c>
      <c r="Q17" s="120">
        <v>0</v>
      </c>
      <c r="R17" s="120">
        <v>0</v>
      </c>
      <c r="S17" s="120">
        <v>0</v>
      </c>
      <c r="T17" s="120">
        <v>0</v>
      </c>
      <c r="U17" s="120">
        <v>0</v>
      </c>
      <c r="V17" s="120">
        <v>0</v>
      </c>
      <c r="W17" s="120">
        <v>0</v>
      </c>
      <c r="X17" s="123">
        <v>0</v>
      </c>
      <c r="Y17" s="123">
        <v>0</v>
      </c>
      <c r="Z17" s="123">
        <v>0</v>
      </c>
      <c r="AA17" s="3" t="b">
        <f>E17='Production Plan_wk33'!C353</f>
        <v>1</v>
      </c>
    </row>
    <row r="18" spans="2:27" x14ac:dyDescent="0.35">
      <c r="B18" s="10" t="s">
        <v>104</v>
      </c>
      <c r="C18" s="11"/>
      <c r="D18" s="273" t="s">
        <v>545</v>
      </c>
      <c r="E18" s="122">
        <f t="shared" si="0"/>
        <v>0</v>
      </c>
      <c r="F18" s="120">
        <v>0</v>
      </c>
      <c r="G18" s="120">
        <v>0</v>
      </c>
      <c r="H18" s="120">
        <v>0</v>
      </c>
      <c r="I18" s="120">
        <v>0</v>
      </c>
      <c r="J18" s="120">
        <v>0</v>
      </c>
      <c r="K18" s="120">
        <v>0</v>
      </c>
      <c r="L18" s="120">
        <v>0</v>
      </c>
      <c r="M18" s="120">
        <v>0</v>
      </c>
      <c r="N18" s="120">
        <v>0</v>
      </c>
      <c r="O18" s="120">
        <v>0</v>
      </c>
      <c r="P18" s="120">
        <v>0</v>
      </c>
      <c r="Q18" s="120">
        <v>0</v>
      </c>
      <c r="R18" s="120">
        <v>0</v>
      </c>
      <c r="S18" s="120">
        <v>0</v>
      </c>
      <c r="T18" s="120">
        <v>0</v>
      </c>
      <c r="U18" s="120">
        <v>0</v>
      </c>
      <c r="V18" s="120">
        <v>0</v>
      </c>
      <c r="W18" s="120">
        <v>0</v>
      </c>
      <c r="X18" s="123">
        <v>0</v>
      </c>
      <c r="Y18" s="123">
        <v>0</v>
      </c>
      <c r="Z18" s="123">
        <v>0</v>
      </c>
      <c r="AA18" s="3" t="b">
        <f>E18='Production Plan_wk33'!C354</f>
        <v>1</v>
      </c>
    </row>
    <row r="19" spans="2:27" x14ac:dyDescent="0.35">
      <c r="B19" s="10" t="s">
        <v>93</v>
      </c>
      <c r="C19" s="11"/>
      <c r="D19" s="273" t="s">
        <v>546</v>
      </c>
      <c r="E19" s="122">
        <f t="shared" si="0"/>
        <v>960</v>
      </c>
      <c r="F19" s="120">
        <v>143</v>
      </c>
      <c r="G19" s="120">
        <v>73</v>
      </c>
      <c r="H19" s="120">
        <v>0</v>
      </c>
      <c r="I19" s="120">
        <v>143</v>
      </c>
      <c r="J19" s="120">
        <v>73</v>
      </c>
      <c r="K19" s="120">
        <v>0</v>
      </c>
      <c r="L19" s="120">
        <v>143</v>
      </c>
      <c r="M19" s="120">
        <v>73</v>
      </c>
      <c r="N19" s="120">
        <v>0</v>
      </c>
      <c r="O19" s="120">
        <v>0</v>
      </c>
      <c r="P19" s="120">
        <v>0</v>
      </c>
      <c r="Q19" s="120">
        <v>0</v>
      </c>
      <c r="R19" s="120">
        <v>120</v>
      </c>
      <c r="S19" s="120">
        <v>36</v>
      </c>
      <c r="T19" s="120">
        <v>0</v>
      </c>
      <c r="U19" s="120">
        <v>120</v>
      </c>
      <c r="V19" s="120">
        <v>36</v>
      </c>
      <c r="W19" s="120">
        <v>0</v>
      </c>
      <c r="X19" s="123">
        <v>0</v>
      </c>
      <c r="Y19" s="123">
        <v>0</v>
      </c>
      <c r="Z19" s="123">
        <v>0</v>
      </c>
      <c r="AA19" s="3" t="b">
        <f>E19='Production Plan_wk33'!C355</f>
        <v>1</v>
      </c>
    </row>
    <row r="20" spans="2:27" x14ac:dyDescent="0.35">
      <c r="B20" s="10" t="s">
        <v>119</v>
      </c>
      <c r="C20" s="11"/>
      <c r="D20" s="273" t="s">
        <v>547</v>
      </c>
      <c r="E20" s="122">
        <f t="shared" si="0"/>
        <v>0</v>
      </c>
      <c r="F20" s="120">
        <v>0</v>
      </c>
      <c r="G20" s="120">
        <v>0</v>
      </c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0">
        <v>0</v>
      </c>
      <c r="N20" s="120">
        <v>0</v>
      </c>
      <c r="O20" s="120">
        <v>0</v>
      </c>
      <c r="P20" s="120">
        <v>0</v>
      </c>
      <c r="Q20" s="120">
        <v>0</v>
      </c>
      <c r="R20" s="120">
        <v>0</v>
      </c>
      <c r="S20" s="120">
        <v>0</v>
      </c>
      <c r="T20" s="120">
        <v>0</v>
      </c>
      <c r="U20" s="120">
        <v>0</v>
      </c>
      <c r="V20" s="120">
        <v>0</v>
      </c>
      <c r="W20" s="120">
        <v>0</v>
      </c>
      <c r="X20" s="123">
        <v>0</v>
      </c>
      <c r="Y20" s="123">
        <v>0</v>
      </c>
      <c r="Z20" s="123">
        <v>0</v>
      </c>
      <c r="AA20" s="3" t="b">
        <f>E20='Production Plan_wk33'!C356</f>
        <v>1</v>
      </c>
    </row>
    <row r="21" spans="2:27" x14ac:dyDescent="0.35">
      <c r="B21" s="10" t="s">
        <v>65</v>
      </c>
      <c r="C21" s="11"/>
      <c r="D21" s="273" t="s">
        <v>548</v>
      </c>
      <c r="E21" s="122">
        <f t="shared" si="0"/>
        <v>0</v>
      </c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L21" s="120">
        <v>0</v>
      </c>
      <c r="M21" s="120">
        <v>0</v>
      </c>
      <c r="N21" s="120">
        <v>0</v>
      </c>
      <c r="O21" s="120">
        <v>0</v>
      </c>
      <c r="P21" s="120">
        <v>0</v>
      </c>
      <c r="Q21" s="120">
        <v>0</v>
      </c>
      <c r="R21" s="120">
        <v>0</v>
      </c>
      <c r="S21" s="120">
        <v>0</v>
      </c>
      <c r="T21" s="120">
        <v>0</v>
      </c>
      <c r="U21" s="120">
        <v>0</v>
      </c>
      <c r="V21" s="120">
        <v>0</v>
      </c>
      <c r="W21" s="120">
        <v>0</v>
      </c>
      <c r="X21" s="123">
        <v>0</v>
      </c>
      <c r="Y21" s="123">
        <v>0</v>
      </c>
      <c r="Z21" s="123">
        <v>0</v>
      </c>
      <c r="AA21" s="3" t="b">
        <f>E21='Production Plan_wk33'!C357</f>
        <v>1</v>
      </c>
    </row>
    <row r="22" spans="2:27" x14ac:dyDescent="0.35">
      <c r="B22" s="10" t="s">
        <v>61</v>
      </c>
      <c r="C22" s="11"/>
      <c r="D22" s="273" t="s">
        <v>549</v>
      </c>
      <c r="E22" s="122">
        <f t="shared" si="0"/>
        <v>0</v>
      </c>
      <c r="F22" s="120">
        <v>0</v>
      </c>
      <c r="G22" s="120">
        <v>0</v>
      </c>
      <c r="H22" s="120">
        <v>0</v>
      </c>
      <c r="I22" s="120">
        <v>0</v>
      </c>
      <c r="J22" s="120">
        <v>0</v>
      </c>
      <c r="K22" s="120">
        <v>0</v>
      </c>
      <c r="L22" s="120">
        <v>0</v>
      </c>
      <c r="M22" s="120">
        <v>0</v>
      </c>
      <c r="N22" s="120">
        <v>0</v>
      </c>
      <c r="O22" s="120">
        <v>0</v>
      </c>
      <c r="P22" s="120">
        <v>0</v>
      </c>
      <c r="Q22" s="120">
        <v>0</v>
      </c>
      <c r="R22" s="120">
        <v>0</v>
      </c>
      <c r="S22" s="120">
        <v>0</v>
      </c>
      <c r="T22" s="120">
        <v>0</v>
      </c>
      <c r="U22" s="120">
        <v>0</v>
      </c>
      <c r="V22" s="120">
        <v>0</v>
      </c>
      <c r="W22" s="120">
        <v>0</v>
      </c>
      <c r="X22" s="123">
        <v>0</v>
      </c>
      <c r="Y22" s="123">
        <v>0</v>
      </c>
      <c r="Z22" s="123">
        <v>0</v>
      </c>
      <c r="AA22" s="3" t="b">
        <f>E22='Production Plan_wk33'!C358</f>
        <v>1</v>
      </c>
    </row>
    <row r="23" spans="2:27" x14ac:dyDescent="0.35">
      <c r="B23" s="10" t="s">
        <v>291</v>
      </c>
      <c r="C23" s="11"/>
      <c r="D23" s="273" t="s">
        <v>550</v>
      </c>
      <c r="E23" s="122">
        <f t="shared" si="0"/>
        <v>236</v>
      </c>
      <c r="F23" s="120">
        <v>40</v>
      </c>
      <c r="G23" s="120">
        <v>0</v>
      </c>
      <c r="H23" s="120">
        <v>0</v>
      </c>
      <c r="I23" s="120">
        <v>98</v>
      </c>
      <c r="J23" s="120">
        <v>0</v>
      </c>
      <c r="K23" s="120">
        <v>0</v>
      </c>
      <c r="L23" s="120">
        <v>98</v>
      </c>
      <c r="M23" s="120">
        <v>0</v>
      </c>
      <c r="N23" s="120">
        <v>0</v>
      </c>
      <c r="O23" s="120">
        <v>0</v>
      </c>
      <c r="P23" s="120">
        <v>0</v>
      </c>
      <c r="Q23" s="120">
        <v>0</v>
      </c>
      <c r="R23" s="120">
        <v>0</v>
      </c>
      <c r="S23" s="120">
        <v>0</v>
      </c>
      <c r="T23" s="120">
        <v>0</v>
      </c>
      <c r="U23" s="120">
        <v>0</v>
      </c>
      <c r="V23" s="120">
        <v>0</v>
      </c>
      <c r="W23" s="120">
        <v>0</v>
      </c>
      <c r="X23" s="123">
        <v>0</v>
      </c>
      <c r="Y23" s="123">
        <v>0</v>
      </c>
      <c r="Z23" s="123">
        <v>0</v>
      </c>
      <c r="AA23" s="3" t="b">
        <f>E23='Production Plan_wk33'!C359</f>
        <v>1</v>
      </c>
    </row>
    <row r="24" spans="2:27" x14ac:dyDescent="0.35">
      <c r="B24" s="10" t="s">
        <v>29</v>
      </c>
      <c r="C24" s="11"/>
      <c r="D24" s="273" t="s">
        <v>551</v>
      </c>
      <c r="E24" s="122">
        <f t="shared" si="0"/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L24" s="120">
        <v>0</v>
      </c>
      <c r="M24" s="120">
        <v>0</v>
      </c>
      <c r="N24" s="120">
        <v>0</v>
      </c>
      <c r="O24" s="120">
        <v>0</v>
      </c>
      <c r="P24" s="120">
        <v>0</v>
      </c>
      <c r="Q24" s="120">
        <v>0</v>
      </c>
      <c r="R24" s="120">
        <v>0</v>
      </c>
      <c r="S24" s="120">
        <v>0</v>
      </c>
      <c r="T24" s="120">
        <v>0</v>
      </c>
      <c r="U24" s="120">
        <v>0</v>
      </c>
      <c r="V24" s="120">
        <v>0</v>
      </c>
      <c r="W24" s="120">
        <v>0</v>
      </c>
      <c r="X24" s="123">
        <v>0</v>
      </c>
      <c r="Y24" s="123">
        <v>0</v>
      </c>
      <c r="Z24" s="123">
        <v>0</v>
      </c>
      <c r="AA24" s="3" t="b">
        <f>E24='Production Plan_wk33'!C360</f>
        <v>1</v>
      </c>
    </row>
    <row r="25" spans="2:27" x14ac:dyDescent="0.35">
      <c r="B25" s="10" t="s">
        <v>27</v>
      </c>
      <c r="C25" s="11"/>
      <c r="D25" s="273" t="s">
        <v>552</v>
      </c>
      <c r="E25" s="122">
        <f t="shared" si="0"/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120">
        <v>0</v>
      </c>
      <c r="L25" s="120">
        <v>0</v>
      </c>
      <c r="M25" s="120">
        <v>0</v>
      </c>
      <c r="N25" s="120">
        <v>0</v>
      </c>
      <c r="O25" s="120">
        <v>0</v>
      </c>
      <c r="P25" s="120">
        <v>0</v>
      </c>
      <c r="Q25" s="120">
        <v>0</v>
      </c>
      <c r="R25" s="120">
        <v>0</v>
      </c>
      <c r="S25" s="120">
        <v>0</v>
      </c>
      <c r="T25" s="120">
        <v>0</v>
      </c>
      <c r="U25" s="120">
        <v>0</v>
      </c>
      <c r="V25" s="120">
        <v>0</v>
      </c>
      <c r="W25" s="120">
        <v>0</v>
      </c>
      <c r="X25" s="123">
        <v>0</v>
      </c>
      <c r="Y25" s="123">
        <v>0</v>
      </c>
      <c r="Z25" s="123">
        <v>0</v>
      </c>
      <c r="AA25" s="3" t="b">
        <f>E25='Production Plan_wk33'!C361</f>
        <v>1</v>
      </c>
    </row>
    <row r="26" spans="2:27" x14ac:dyDescent="0.35">
      <c r="B26" s="10" t="s">
        <v>214</v>
      </c>
      <c r="C26" s="11"/>
      <c r="D26" s="273" t="s">
        <v>553</v>
      </c>
      <c r="E26" s="122">
        <f t="shared" si="0"/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L26" s="120">
        <v>0</v>
      </c>
      <c r="M26" s="120">
        <v>0</v>
      </c>
      <c r="N26" s="120">
        <v>0</v>
      </c>
      <c r="O26" s="120">
        <v>0</v>
      </c>
      <c r="P26" s="120">
        <v>0</v>
      </c>
      <c r="Q26" s="120">
        <v>0</v>
      </c>
      <c r="R26" s="120">
        <v>0</v>
      </c>
      <c r="S26" s="120">
        <v>0</v>
      </c>
      <c r="T26" s="120">
        <v>0</v>
      </c>
      <c r="U26" s="120">
        <v>0</v>
      </c>
      <c r="V26" s="120">
        <v>0</v>
      </c>
      <c r="W26" s="120">
        <v>0</v>
      </c>
      <c r="X26" s="123">
        <v>0</v>
      </c>
      <c r="Y26" s="123">
        <v>0</v>
      </c>
      <c r="Z26" s="123">
        <v>0</v>
      </c>
      <c r="AA26" s="3" t="b">
        <f>E26='Production Plan_wk33'!C362</f>
        <v>1</v>
      </c>
    </row>
    <row r="27" spans="2:27" x14ac:dyDescent="0.35">
      <c r="B27" s="10" t="s">
        <v>75</v>
      </c>
      <c r="C27" s="11"/>
      <c r="D27" s="273" t="s">
        <v>554</v>
      </c>
      <c r="E27" s="122">
        <f t="shared" si="0"/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120">
        <v>0</v>
      </c>
      <c r="L27" s="120">
        <v>0</v>
      </c>
      <c r="M27" s="120">
        <v>0</v>
      </c>
      <c r="N27" s="120">
        <v>0</v>
      </c>
      <c r="O27" s="120">
        <v>0</v>
      </c>
      <c r="P27" s="120">
        <v>0</v>
      </c>
      <c r="Q27" s="120">
        <v>0</v>
      </c>
      <c r="R27" s="120">
        <v>0</v>
      </c>
      <c r="S27" s="120">
        <v>0</v>
      </c>
      <c r="T27" s="120">
        <v>0</v>
      </c>
      <c r="U27" s="120">
        <v>0</v>
      </c>
      <c r="V27" s="120">
        <v>0</v>
      </c>
      <c r="W27" s="120">
        <v>0</v>
      </c>
      <c r="X27" s="123">
        <v>0</v>
      </c>
      <c r="Y27" s="123">
        <v>0</v>
      </c>
      <c r="Z27" s="123">
        <v>0</v>
      </c>
      <c r="AA27" s="3" t="b">
        <f>E27='Production Plan_wk33'!C363</f>
        <v>1</v>
      </c>
    </row>
    <row r="28" spans="2:27" x14ac:dyDescent="0.35">
      <c r="B28" s="10" t="s">
        <v>86</v>
      </c>
      <c r="C28" s="11"/>
      <c r="D28" s="273" t="s">
        <v>555</v>
      </c>
      <c r="E28" s="122">
        <f t="shared" si="0"/>
        <v>0</v>
      </c>
      <c r="F28" s="120">
        <v>0</v>
      </c>
      <c r="G28" s="120">
        <v>0</v>
      </c>
      <c r="H28" s="120">
        <v>0</v>
      </c>
      <c r="I28" s="120">
        <v>0</v>
      </c>
      <c r="J28" s="120">
        <v>0</v>
      </c>
      <c r="K28" s="120">
        <v>0</v>
      </c>
      <c r="L28" s="120">
        <v>0</v>
      </c>
      <c r="M28" s="120">
        <v>0</v>
      </c>
      <c r="N28" s="120">
        <v>0</v>
      </c>
      <c r="O28" s="120">
        <v>0</v>
      </c>
      <c r="P28" s="120">
        <v>0</v>
      </c>
      <c r="Q28" s="120">
        <v>0</v>
      </c>
      <c r="R28" s="120">
        <v>0</v>
      </c>
      <c r="S28" s="120">
        <v>0</v>
      </c>
      <c r="T28" s="120">
        <v>0</v>
      </c>
      <c r="U28" s="120">
        <v>0</v>
      </c>
      <c r="V28" s="120">
        <v>0</v>
      </c>
      <c r="W28" s="120">
        <v>0</v>
      </c>
      <c r="X28" s="123">
        <v>0</v>
      </c>
      <c r="Y28" s="123">
        <v>0</v>
      </c>
      <c r="Z28" s="123">
        <v>0</v>
      </c>
      <c r="AA28" s="3" t="b">
        <f>E28='Production Plan_wk33'!C364</f>
        <v>1</v>
      </c>
    </row>
    <row r="29" spans="2:27" x14ac:dyDescent="0.35">
      <c r="B29" s="10" t="s">
        <v>215</v>
      </c>
      <c r="C29" s="11"/>
      <c r="D29" s="273" t="s">
        <v>556</v>
      </c>
      <c r="E29" s="122">
        <f t="shared" si="0"/>
        <v>810</v>
      </c>
      <c r="F29" s="120">
        <v>135</v>
      </c>
      <c r="G29" s="120">
        <v>0</v>
      </c>
      <c r="H29" s="120">
        <v>135</v>
      </c>
      <c r="I29" s="120">
        <v>135</v>
      </c>
      <c r="J29" s="120">
        <v>0</v>
      </c>
      <c r="K29" s="120">
        <v>135</v>
      </c>
      <c r="L29" s="120">
        <v>135</v>
      </c>
      <c r="M29" s="120">
        <v>0</v>
      </c>
      <c r="N29" s="120">
        <v>135</v>
      </c>
      <c r="O29" s="120">
        <v>0</v>
      </c>
      <c r="P29" s="120">
        <v>0</v>
      </c>
      <c r="Q29" s="120">
        <v>0</v>
      </c>
      <c r="R29" s="120">
        <v>0</v>
      </c>
      <c r="S29" s="120">
        <v>0</v>
      </c>
      <c r="T29" s="120">
        <v>0</v>
      </c>
      <c r="U29" s="120">
        <v>0</v>
      </c>
      <c r="V29" s="120">
        <v>0</v>
      </c>
      <c r="W29" s="120">
        <v>0</v>
      </c>
      <c r="X29" s="123">
        <v>0</v>
      </c>
      <c r="Y29" s="123">
        <v>0</v>
      </c>
      <c r="Z29" s="123">
        <v>0</v>
      </c>
      <c r="AA29" s="3" t="b">
        <f>E29='Production Plan_wk33'!C365</f>
        <v>1</v>
      </c>
    </row>
    <row r="30" spans="2:27" x14ac:dyDescent="0.35">
      <c r="B30" s="10" t="s">
        <v>133</v>
      </c>
      <c r="C30" s="11"/>
      <c r="D30" s="273" t="s">
        <v>557</v>
      </c>
      <c r="E30" s="122">
        <f t="shared" si="0"/>
        <v>0</v>
      </c>
      <c r="F30" s="120">
        <v>0</v>
      </c>
      <c r="G30" s="120">
        <v>0</v>
      </c>
      <c r="H30" s="120">
        <v>0</v>
      </c>
      <c r="I30" s="120">
        <v>0</v>
      </c>
      <c r="J30" s="120">
        <v>0</v>
      </c>
      <c r="K30" s="120">
        <v>0</v>
      </c>
      <c r="L30" s="120">
        <v>0</v>
      </c>
      <c r="M30" s="120">
        <v>0</v>
      </c>
      <c r="N30" s="120">
        <v>0</v>
      </c>
      <c r="O30" s="120">
        <v>0</v>
      </c>
      <c r="P30" s="120">
        <v>0</v>
      </c>
      <c r="Q30" s="120">
        <v>0</v>
      </c>
      <c r="R30" s="120">
        <v>0</v>
      </c>
      <c r="S30" s="120">
        <v>0</v>
      </c>
      <c r="T30" s="120">
        <v>0</v>
      </c>
      <c r="U30" s="120">
        <v>0</v>
      </c>
      <c r="V30" s="120">
        <v>0</v>
      </c>
      <c r="W30" s="120">
        <v>0</v>
      </c>
      <c r="X30" s="123">
        <v>0</v>
      </c>
      <c r="Y30" s="123">
        <v>0</v>
      </c>
      <c r="Z30" s="123">
        <v>0</v>
      </c>
      <c r="AA30" s="3" t="b">
        <f>E30='Production Plan_wk33'!C366</f>
        <v>1</v>
      </c>
    </row>
    <row r="31" spans="2:27" x14ac:dyDescent="0.35">
      <c r="B31" s="10" t="s">
        <v>216</v>
      </c>
      <c r="C31" s="11"/>
      <c r="D31" s="273" t="s">
        <v>558</v>
      </c>
      <c r="E31" s="122">
        <f t="shared" si="0"/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L31" s="120">
        <v>0</v>
      </c>
      <c r="M31" s="120">
        <v>0</v>
      </c>
      <c r="N31" s="120">
        <v>0</v>
      </c>
      <c r="O31" s="120">
        <v>0</v>
      </c>
      <c r="P31" s="120">
        <v>0</v>
      </c>
      <c r="Q31" s="120">
        <v>0</v>
      </c>
      <c r="R31" s="120">
        <v>0</v>
      </c>
      <c r="S31" s="120">
        <v>0</v>
      </c>
      <c r="T31" s="120">
        <v>0</v>
      </c>
      <c r="U31" s="120">
        <v>0</v>
      </c>
      <c r="V31" s="120">
        <v>0</v>
      </c>
      <c r="W31" s="120">
        <v>0</v>
      </c>
      <c r="X31" s="123">
        <v>0</v>
      </c>
      <c r="Y31" s="123">
        <v>0</v>
      </c>
      <c r="Z31" s="123">
        <v>0</v>
      </c>
      <c r="AA31" s="3" t="b">
        <f>E31='Production Plan_wk33'!C367</f>
        <v>1</v>
      </c>
    </row>
    <row r="32" spans="2:27" x14ac:dyDescent="0.35">
      <c r="B32" s="10" t="s">
        <v>500</v>
      </c>
      <c r="C32" s="11"/>
      <c r="D32" s="273" t="s">
        <v>590</v>
      </c>
      <c r="E32" s="270">
        <f t="shared" si="0"/>
        <v>18</v>
      </c>
      <c r="F32" s="120">
        <v>18</v>
      </c>
      <c r="G32" s="120">
        <v>0</v>
      </c>
      <c r="H32" s="120">
        <v>0</v>
      </c>
      <c r="I32" s="120">
        <v>0</v>
      </c>
      <c r="J32" s="120">
        <v>0</v>
      </c>
      <c r="K32" s="120">
        <v>0</v>
      </c>
      <c r="L32" s="120">
        <v>0</v>
      </c>
      <c r="M32" s="120">
        <v>0</v>
      </c>
      <c r="N32" s="120">
        <v>0</v>
      </c>
      <c r="O32" s="120">
        <v>0</v>
      </c>
      <c r="P32" s="120">
        <v>0</v>
      </c>
      <c r="Q32" s="120">
        <v>0</v>
      </c>
      <c r="R32" s="120">
        <v>0</v>
      </c>
      <c r="S32" s="120">
        <v>0</v>
      </c>
      <c r="T32" s="120">
        <v>0</v>
      </c>
      <c r="U32" s="120">
        <v>0</v>
      </c>
      <c r="V32" s="120">
        <v>0</v>
      </c>
      <c r="W32" s="120">
        <v>0</v>
      </c>
      <c r="X32" s="123">
        <v>0</v>
      </c>
      <c r="Y32" s="123">
        <v>0</v>
      </c>
      <c r="Z32" s="123">
        <v>0</v>
      </c>
      <c r="AA32" s="3" t="b">
        <f>E32='Production Plan_wk33'!C368</f>
        <v>1</v>
      </c>
    </row>
    <row r="33" spans="2:27" x14ac:dyDescent="0.35">
      <c r="B33" s="10" t="s">
        <v>499</v>
      </c>
      <c r="C33" s="11"/>
      <c r="D33" s="273" t="s">
        <v>590</v>
      </c>
      <c r="E33" s="122">
        <f t="shared" si="0"/>
        <v>18</v>
      </c>
      <c r="F33" s="120">
        <v>18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  <c r="L33" s="120">
        <v>0</v>
      </c>
      <c r="M33" s="120">
        <v>0</v>
      </c>
      <c r="N33" s="120">
        <v>0</v>
      </c>
      <c r="O33" s="120">
        <v>0</v>
      </c>
      <c r="P33" s="120">
        <v>0</v>
      </c>
      <c r="Q33" s="120">
        <v>0</v>
      </c>
      <c r="R33" s="120">
        <v>0</v>
      </c>
      <c r="S33" s="120">
        <v>0</v>
      </c>
      <c r="T33" s="120">
        <v>0</v>
      </c>
      <c r="U33" s="120">
        <v>0</v>
      </c>
      <c r="V33" s="120">
        <v>0</v>
      </c>
      <c r="W33" s="120">
        <v>0</v>
      </c>
      <c r="X33" s="123">
        <v>0</v>
      </c>
      <c r="Y33" s="123">
        <v>0</v>
      </c>
      <c r="Z33" s="123">
        <v>0</v>
      </c>
      <c r="AA33" s="3" t="b">
        <f>E33='Production Plan_wk33'!C369</f>
        <v>1</v>
      </c>
    </row>
    <row r="34" spans="2:27" x14ac:dyDescent="0.35">
      <c r="B34" s="10" t="s">
        <v>286</v>
      </c>
      <c r="C34" s="11"/>
      <c r="D34" s="273" t="s">
        <v>590</v>
      </c>
      <c r="E34" s="122">
        <f t="shared" si="0"/>
        <v>0</v>
      </c>
      <c r="F34" s="120">
        <v>0</v>
      </c>
      <c r="G34" s="120">
        <v>0</v>
      </c>
      <c r="H34" s="120">
        <v>0</v>
      </c>
      <c r="I34" s="120">
        <v>0</v>
      </c>
      <c r="J34" s="120">
        <v>0</v>
      </c>
      <c r="K34" s="120">
        <v>0</v>
      </c>
      <c r="L34" s="120">
        <v>0</v>
      </c>
      <c r="M34" s="120">
        <v>0</v>
      </c>
      <c r="N34" s="120">
        <v>0</v>
      </c>
      <c r="O34" s="120">
        <v>0</v>
      </c>
      <c r="P34" s="120">
        <v>0</v>
      </c>
      <c r="Q34" s="120">
        <v>0</v>
      </c>
      <c r="R34" s="120">
        <v>0</v>
      </c>
      <c r="S34" s="120">
        <v>0</v>
      </c>
      <c r="T34" s="120">
        <v>0</v>
      </c>
      <c r="U34" s="120">
        <v>0</v>
      </c>
      <c r="V34" s="120">
        <v>0</v>
      </c>
      <c r="W34" s="120">
        <v>0</v>
      </c>
      <c r="X34" s="123">
        <v>0</v>
      </c>
      <c r="Y34" s="123">
        <v>0</v>
      </c>
      <c r="Z34" s="123">
        <v>0</v>
      </c>
      <c r="AA34" s="3" t="b">
        <f>E34='Production Plan_wk33'!C370</f>
        <v>1</v>
      </c>
    </row>
    <row r="35" spans="2:27" x14ac:dyDescent="0.35">
      <c r="B35" s="10" t="s">
        <v>287</v>
      </c>
      <c r="C35" s="11"/>
      <c r="D35" s="273" t="s">
        <v>566</v>
      </c>
      <c r="E35" s="122">
        <f t="shared" si="0"/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120">
        <v>0</v>
      </c>
      <c r="L35" s="120">
        <v>0</v>
      </c>
      <c r="M35" s="120">
        <v>0</v>
      </c>
      <c r="N35" s="120">
        <v>0</v>
      </c>
      <c r="O35" s="120">
        <v>0</v>
      </c>
      <c r="P35" s="120">
        <v>0</v>
      </c>
      <c r="Q35" s="120">
        <v>0</v>
      </c>
      <c r="R35" s="120">
        <v>0</v>
      </c>
      <c r="S35" s="120">
        <v>0</v>
      </c>
      <c r="T35" s="120">
        <v>0</v>
      </c>
      <c r="U35" s="120">
        <v>0</v>
      </c>
      <c r="V35" s="120">
        <v>0</v>
      </c>
      <c r="W35" s="120">
        <v>0</v>
      </c>
      <c r="X35" s="123">
        <v>0</v>
      </c>
      <c r="Y35" s="123">
        <v>0</v>
      </c>
      <c r="Z35" s="123">
        <v>0</v>
      </c>
      <c r="AA35" s="3" t="b">
        <f>E35='Production Plan_wk33'!C371</f>
        <v>1</v>
      </c>
    </row>
    <row r="36" spans="2:27" x14ac:dyDescent="0.35">
      <c r="B36" s="10" t="s">
        <v>281</v>
      </c>
      <c r="C36" s="11"/>
      <c r="D36" s="273" t="s">
        <v>556</v>
      </c>
      <c r="E36" s="122">
        <f t="shared" si="0"/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120">
        <v>0</v>
      </c>
      <c r="L36" s="120">
        <v>0</v>
      </c>
      <c r="M36" s="120">
        <v>0</v>
      </c>
      <c r="N36" s="120">
        <v>0</v>
      </c>
      <c r="O36" s="120">
        <v>0</v>
      </c>
      <c r="P36" s="120">
        <v>0</v>
      </c>
      <c r="Q36" s="120">
        <v>0</v>
      </c>
      <c r="R36" s="120">
        <v>0</v>
      </c>
      <c r="S36" s="120">
        <v>0</v>
      </c>
      <c r="T36" s="120">
        <v>0</v>
      </c>
      <c r="U36" s="120">
        <v>0</v>
      </c>
      <c r="V36" s="120">
        <v>0</v>
      </c>
      <c r="W36" s="120">
        <v>0</v>
      </c>
      <c r="X36" s="123">
        <v>0</v>
      </c>
      <c r="Y36" s="123">
        <v>0</v>
      </c>
      <c r="Z36" s="123">
        <v>0</v>
      </c>
      <c r="AA36" s="3" t="b">
        <f>E36='Production Plan_wk33'!C372</f>
        <v>1</v>
      </c>
    </row>
    <row r="37" spans="2:27" x14ac:dyDescent="0.35">
      <c r="B37" s="10" t="s">
        <v>135</v>
      </c>
      <c r="C37" s="11"/>
      <c r="D37" s="273" t="s">
        <v>559</v>
      </c>
      <c r="E37" s="122">
        <f t="shared" si="0"/>
        <v>0</v>
      </c>
      <c r="F37" s="120">
        <v>0</v>
      </c>
      <c r="G37" s="120">
        <v>0</v>
      </c>
      <c r="H37" s="120">
        <v>0</v>
      </c>
      <c r="I37" s="120">
        <v>0</v>
      </c>
      <c r="J37" s="120">
        <v>0</v>
      </c>
      <c r="K37" s="120">
        <v>0</v>
      </c>
      <c r="L37" s="120">
        <v>0</v>
      </c>
      <c r="M37" s="120">
        <v>0</v>
      </c>
      <c r="N37" s="120">
        <v>0</v>
      </c>
      <c r="O37" s="120">
        <v>0</v>
      </c>
      <c r="P37" s="120">
        <v>0</v>
      </c>
      <c r="Q37" s="120">
        <v>0</v>
      </c>
      <c r="R37" s="120">
        <v>0</v>
      </c>
      <c r="S37" s="120">
        <v>0</v>
      </c>
      <c r="T37" s="120">
        <v>0</v>
      </c>
      <c r="U37" s="120">
        <v>0</v>
      </c>
      <c r="V37" s="120">
        <v>0</v>
      </c>
      <c r="W37" s="120">
        <v>0</v>
      </c>
      <c r="X37" s="123">
        <v>0</v>
      </c>
      <c r="Y37" s="123">
        <v>0</v>
      </c>
      <c r="Z37" s="123">
        <v>0</v>
      </c>
      <c r="AA37" s="3" t="b">
        <f>E37='Production Plan_wk33'!C373</f>
        <v>1</v>
      </c>
    </row>
    <row r="38" spans="2:27" x14ac:dyDescent="0.35">
      <c r="B38" s="10" t="s">
        <v>217</v>
      </c>
      <c r="C38" s="11"/>
      <c r="D38" s="273" t="s">
        <v>560</v>
      </c>
      <c r="E38" s="122">
        <f t="shared" si="0"/>
        <v>0</v>
      </c>
      <c r="F38" s="120">
        <v>0</v>
      </c>
      <c r="G38" s="120">
        <v>0</v>
      </c>
      <c r="H38" s="120">
        <v>0</v>
      </c>
      <c r="I38" s="120">
        <v>0</v>
      </c>
      <c r="J38" s="120">
        <v>0</v>
      </c>
      <c r="K38" s="120">
        <v>0</v>
      </c>
      <c r="L38" s="120">
        <v>0</v>
      </c>
      <c r="M38" s="120">
        <v>0</v>
      </c>
      <c r="N38" s="120">
        <v>0</v>
      </c>
      <c r="O38" s="120">
        <v>0</v>
      </c>
      <c r="P38" s="120">
        <v>0</v>
      </c>
      <c r="Q38" s="120">
        <v>0</v>
      </c>
      <c r="R38" s="120">
        <v>0</v>
      </c>
      <c r="S38" s="120">
        <v>0</v>
      </c>
      <c r="T38" s="120">
        <v>0</v>
      </c>
      <c r="U38" s="120">
        <v>0</v>
      </c>
      <c r="V38" s="120">
        <v>0</v>
      </c>
      <c r="W38" s="120">
        <v>0</v>
      </c>
      <c r="X38" s="123">
        <v>0</v>
      </c>
      <c r="Y38" s="123">
        <v>0</v>
      </c>
      <c r="Z38" s="123">
        <v>0</v>
      </c>
      <c r="AA38" s="3" t="b">
        <f>E38='Production Plan_wk33'!C374</f>
        <v>1</v>
      </c>
    </row>
    <row r="39" spans="2:27" x14ac:dyDescent="0.35">
      <c r="B39" s="10" t="s">
        <v>218</v>
      </c>
      <c r="C39" s="11"/>
      <c r="D39" s="273" t="s">
        <v>561</v>
      </c>
      <c r="E39" s="122">
        <f t="shared" si="0"/>
        <v>0</v>
      </c>
      <c r="F39" s="120">
        <v>0</v>
      </c>
      <c r="G39" s="120">
        <v>0</v>
      </c>
      <c r="H39" s="120">
        <v>0</v>
      </c>
      <c r="I39" s="120">
        <v>0</v>
      </c>
      <c r="J39" s="120">
        <v>0</v>
      </c>
      <c r="K39" s="120">
        <v>0</v>
      </c>
      <c r="L39" s="120">
        <v>0</v>
      </c>
      <c r="M39" s="120">
        <v>0</v>
      </c>
      <c r="N39" s="120">
        <v>0</v>
      </c>
      <c r="O39" s="120">
        <v>0</v>
      </c>
      <c r="P39" s="120">
        <v>0</v>
      </c>
      <c r="Q39" s="120">
        <v>0</v>
      </c>
      <c r="R39" s="120">
        <v>0</v>
      </c>
      <c r="S39" s="120">
        <v>0</v>
      </c>
      <c r="T39" s="120">
        <v>0</v>
      </c>
      <c r="U39" s="120">
        <v>0</v>
      </c>
      <c r="V39" s="120">
        <v>0</v>
      </c>
      <c r="W39" s="120">
        <v>0</v>
      </c>
      <c r="X39" s="123">
        <v>0</v>
      </c>
      <c r="Y39" s="123">
        <v>0</v>
      </c>
      <c r="Z39" s="123">
        <v>0</v>
      </c>
      <c r="AA39" s="3" t="b">
        <f>E39='Production Plan_wk33'!C375</f>
        <v>1</v>
      </c>
    </row>
    <row r="40" spans="2:27" x14ac:dyDescent="0.35">
      <c r="B40" s="10" t="s">
        <v>219</v>
      </c>
      <c r="C40" s="11"/>
      <c r="D40" s="273" t="s">
        <v>562</v>
      </c>
      <c r="E40" s="122">
        <f t="shared" si="0"/>
        <v>0</v>
      </c>
      <c r="F40" s="120">
        <v>0</v>
      </c>
      <c r="G40" s="120">
        <v>0</v>
      </c>
      <c r="H40" s="120">
        <v>0</v>
      </c>
      <c r="I40" s="120">
        <v>0</v>
      </c>
      <c r="J40" s="120">
        <v>0</v>
      </c>
      <c r="K40" s="120">
        <v>0</v>
      </c>
      <c r="L40" s="120">
        <v>0</v>
      </c>
      <c r="M40" s="120">
        <v>0</v>
      </c>
      <c r="N40" s="120">
        <v>0</v>
      </c>
      <c r="O40" s="120">
        <v>0</v>
      </c>
      <c r="P40" s="120">
        <v>0</v>
      </c>
      <c r="Q40" s="120">
        <v>0</v>
      </c>
      <c r="R40" s="120">
        <v>0</v>
      </c>
      <c r="S40" s="120">
        <v>0</v>
      </c>
      <c r="T40" s="120">
        <v>0</v>
      </c>
      <c r="U40" s="120">
        <v>0</v>
      </c>
      <c r="V40" s="120">
        <v>0</v>
      </c>
      <c r="W40" s="120">
        <v>0</v>
      </c>
      <c r="X40" s="123">
        <v>0</v>
      </c>
      <c r="Y40" s="123">
        <v>0</v>
      </c>
      <c r="Z40" s="123">
        <v>0</v>
      </c>
      <c r="AA40" s="3" t="b">
        <f>E40='Production Plan_wk33'!C376</f>
        <v>1</v>
      </c>
    </row>
    <row r="41" spans="2:27" x14ac:dyDescent="0.35">
      <c r="B41" s="10" t="s">
        <v>220</v>
      </c>
      <c r="C41" s="11"/>
      <c r="D41" s="273" t="s">
        <v>563</v>
      </c>
      <c r="E41" s="122">
        <f t="shared" si="0"/>
        <v>0</v>
      </c>
      <c r="F41" s="120">
        <v>0</v>
      </c>
      <c r="G41" s="120">
        <v>0</v>
      </c>
      <c r="H41" s="120">
        <v>0</v>
      </c>
      <c r="I41" s="120">
        <v>0</v>
      </c>
      <c r="J41" s="120">
        <v>0</v>
      </c>
      <c r="K41" s="120">
        <v>0</v>
      </c>
      <c r="L41" s="120">
        <v>0</v>
      </c>
      <c r="M41" s="120">
        <v>0</v>
      </c>
      <c r="N41" s="120">
        <v>0</v>
      </c>
      <c r="O41" s="120">
        <v>0</v>
      </c>
      <c r="P41" s="120">
        <v>0</v>
      </c>
      <c r="Q41" s="120">
        <v>0</v>
      </c>
      <c r="R41" s="120">
        <v>0</v>
      </c>
      <c r="S41" s="120">
        <v>0</v>
      </c>
      <c r="T41" s="120">
        <v>0</v>
      </c>
      <c r="U41" s="120">
        <v>0</v>
      </c>
      <c r="V41" s="120">
        <v>0</v>
      </c>
      <c r="W41" s="120">
        <v>0</v>
      </c>
      <c r="X41" s="123">
        <v>0</v>
      </c>
      <c r="Y41" s="123">
        <v>0</v>
      </c>
      <c r="Z41" s="123">
        <v>0</v>
      </c>
      <c r="AA41" s="3" t="b">
        <f>E41='Production Plan_wk33'!C377</f>
        <v>1</v>
      </c>
    </row>
    <row r="42" spans="2:27" x14ac:dyDescent="0.35">
      <c r="B42" s="10" t="s">
        <v>170</v>
      </c>
      <c r="C42" s="11"/>
      <c r="D42" s="273" t="s">
        <v>563</v>
      </c>
      <c r="E42" s="122">
        <f t="shared" si="0"/>
        <v>175</v>
      </c>
      <c r="F42" s="120">
        <v>80</v>
      </c>
      <c r="G42" s="120">
        <v>10</v>
      </c>
      <c r="H42" s="120">
        <v>0</v>
      </c>
      <c r="I42" s="120">
        <v>59</v>
      </c>
      <c r="J42" s="120">
        <v>26</v>
      </c>
      <c r="K42" s="120">
        <v>0</v>
      </c>
      <c r="L42" s="120">
        <v>0</v>
      </c>
      <c r="M42" s="120">
        <v>0</v>
      </c>
      <c r="N42" s="120">
        <v>0</v>
      </c>
      <c r="O42" s="120">
        <v>0</v>
      </c>
      <c r="P42" s="120">
        <v>0</v>
      </c>
      <c r="Q42" s="120">
        <v>0</v>
      </c>
      <c r="R42" s="120">
        <v>0</v>
      </c>
      <c r="S42" s="120">
        <v>0</v>
      </c>
      <c r="T42" s="120">
        <v>0</v>
      </c>
      <c r="U42" s="120">
        <v>0</v>
      </c>
      <c r="V42" s="120">
        <v>0</v>
      </c>
      <c r="W42" s="120">
        <v>0</v>
      </c>
      <c r="X42" s="123">
        <v>0</v>
      </c>
      <c r="Y42" s="123">
        <v>0</v>
      </c>
      <c r="Z42" s="123">
        <v>0</v>
      </c>
      <c r="AA42" s="3" t="b">
        <f>E42='Production Plan_wk33'!C378</f>
        <v>1</v>
      </c>
    </row>
    <row r="43" spans="2:27" x14ac:dyDescent="0.35">
      <c r="B43" s="10" t="s">
        <v>221</v>
      </c>
      <c r="C43" s="11"/>
      <c r="D43" s="273" t="s">
        <v>564</v>
      </c>
      <c r="E43" s="122">
        <f t="shared" si="0"/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L43" s="120">
        <v>0</v>
      </c>
      <c r="M43" s="120">
        <v>0</v>
      </c>
      <c r="N43" s="120">
        <v>0</v>
      </c>
      <c r="O43" s="120">
        <v>0</v>
      </c>
      <c r="P43" s="120">
        <v>0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X43" s="123">
        <v>0</v>
      </c>
      <c r="Y43" s="123">
        <v>0</v>
      </c>
      <c r="Z43" s="123">
        <v>0</v>
      </c>
      <c r="AA43" s="3" t="b">
        <f>E43='Production Plan_wk33'!C379</f>
        <v>1</v>
      </c>
    </row>
    <row r="44" spans="2:27" x14ac:dyDescent="0.35">
      <c r="B44" s="10" t="s">
        <v>112</v>
      </c>
      <c r="C44" s="11"/>
      <c r="D44" s="273" t="s">
        <v>565</v>
      </c>
      <c r="E44" s="122">
        <f t="shared" si="0"/>
        <v>0</v>
      </c>
      <c r="F44" s="120">
        <v>0</v>
      </c>
      <c r="G44" s="120">
        <v>0</v>
      </c>
      <c r="H44" s="120">
        <v>0</v>
      </c>
      <c r="I44" s="120">
        <v>0</v>
      </c>
      <c r="J44" s="120">
        <v>0</v>
      </c>
      <c r="K44" s="120">
        <v>0</v>
      </c>
      <c r="L44" s="120">
        <v>0</v>
      </c>
      <c r="M44" s="120">
        <v>0</v>
      </c>
      <c r="N44" s="120">
        <v>0</v>
      </c>
      <c r="O44" s="120">
        <v>0</v>
      </c>
      <c r="P44" s="120">
        <v>0</v>
      </c>
      <c r="Q44" s="120">
        <v>0</v>
      </c>
      <c r="R44" s="120">
        <v>0</v>
      </c>
      <c r="S44" s="120">
        <v>0</v>
      </c>
      <c r="T44" s="120">
        <v>0</v>
      </c>
      <c r="U44" s="120">
        <v>0</v>
      </c>
      <c r="V44" s="120">
        <v>0</v>
      </c>
      <c r="W44" s="120">
        <v>0</v>
      </c>
      <c r="X44" s="123">
        <v>0</v>
      </c>
      <c r="Y44" s="123">
        <v>0</v>
      </c>
      <c r="Z44" s="123">
        <v>0</v>
      </c>
      <c r="AA44" s="3" t="b">
        <f>E44='Production Plan_wk33'!C380</f>
        <v>1</v>
      </c>
    </row>
    <row r="45" spans="2:27" x14ac:dyDescent="0.35">
      <c r="B45" s="10" t="s">
        <v>90</v>
      </c>
      <c r="C45" s="11"/>
      <c r="D45" s="273" t="s">
        <v>565</v>
      </c>
      <c r="E45" s="122">
        <f t="shared" si="0"/>
        <v>0</v>
      </c>
      <c r="F45" s="120">
        <v>0</v>
      </c>
      <c r="G45" s="120">
        <v>0</v>
      </c>
      <c r="H45" s="120">
        <v>0</v>
      </c>
      <c r="I45" s="120">
        <v>0</v>
      </c>
      <c r="J45" s="120">
        <v>0</v>
      </c>
      <c r="K45" s="120">
        <v>0</v>
      </c>
      <c r="L45" s="120">
        <v>0</v>
      </c>
      <c r="M45" s="120">
        <v>0</v>
      </c>
      <c r="N45" s="120">
        <v>0</v>
      </c>
      <c r="O45" s="120">
        <v>0</v>
      </c>
      <c r="P45" s="120">
        <v>0</v>
      </c>
      <c r="Q45" s="120">
        <v>0</v>
      </c>
      <c r="R45" s="120">
        <v>0</v>
      </c>
      <c r="S45" s="120">
        <v>0</v>
      </c>
      <c r="T45" s="120">
        <v>0</v>
      </c>
      <c r="U45" s="120">
        <v>0</v>
      </c>
      <c r="V45" s="120">
        <v>0</v>
      </c>
      <c r="W45" s="120">
        <v>0</v>
      </c>
      <c r="X45" s="123">
        <v>0</v>
      </c>
      <c r="Y45" s="123">
        <v>0</v>
      </c>
      <c r="Z45" s="123">
        <v>0</v>
      </c>
      <c r="AA45" s="3" t="b">
        <f>E45='Production Plan_wk33'!C381</f>
        <v>1</v>
      </c>
    </row>
    <row r="46" spans="2:27" x14ac:dyDescent="0.35">
      <c r="B46" s="10" t="s">
        <v>324</v>
      </c>
      <c r="C46" s="11"/>
      <c r="D46" s="273" t="s">
        <v>567</v>
      </c>
      <c r="E46" s="122">
        <f t="shared" si="0"/>
        <v>0</v>
      </c>
      <c r="F46" s="120">
        <v>0</v>
      </c>
      <c r="G46" s="120">
        <v>0</v>
      </c>
      <c r="H46" s="120">
        <v>0</v>
      </c>
      <c r="I46" s="120">
        <v>0</v>
      </c>
      <c r="J46" s="120">
        <v>0</v>
      </c>
      <c r="K46" s="120">
        <v>0</v>
      </c>
      <c r="L46" s="120">
        <v>0</v>
      </c>
      <c r="M46" s="120">
        <v>0</v>
      </c>
      <c r="N46" s="120">
        <v>0</v>
      </c>
      <c r="O46" s="120">
        <v>0</v>
      </c>
      <c r="P46" s="120">
        <v>0</v>
      </c>
      <c r="Q46" s="120">
        <v>0</v>
      </c>
      <c r="R46" s="120">
        <v>0</v>
      </c>
      <c r="S46" s="120">
        <v>0</v>
      </c>
      <c r="T46" s="120">
        <v>0</v>
      </c>
      <c r="U46" s="120">
        <v>0</v>
      </c>
      <c r="V46" s="120">
        <v>0</v>
      </c>
      <c r="W46" s="120">
        <v>0</v>
      </c>
      <c r="X46" s="123">
        <v>0</v>
      </c>
      <c r="Y46" s="123">
        <v>0</v>
      </c>
      <c r="Z46" s="123">
        <v>0</v>
      </c>
      <c r="AA46" s="3" t="b">
        <f>E46='Production Plan_wk33'!C382</f>
        <v>1</v>
      </c>
    </row>
    <row r="47" spans="2:27" x14ac:dyDescent="0.35">
      <c r="B47" s="10" t="s">
        <v>194</v>
      </c>
      <c r="C47" s="11"/>
      <c r="D47" s="273" t="s">
        <v>567</v>
      </c>
      <c r="E47" s="122">
        <f t="shared" si="0"/>
        <v>83</v>
      </c>
      <c r="F47" s="120">
        <v>83</v>
      </c>
      <c r="G47" s="120">
        <v>0</v>
      </c>
      <c r="H47" s="120">
        <v>0</v>
      </c>
      <c r="I47" s="120">
        <v>0</v>
      </c>
      <c r="J47" s="120">
        <v>0</v>
      </c>
      <c r="K47" s="120">
        <v>0</v>
      </c>
      <c r="L47" s="120">
        <v>0</v>
      </c>
      <c r="M47" s="120">
        <v>0</v>
      </c>
      <c r="N47" s="120">
        <v>0</v>
      </c>
      <c r="O47" s="120">
        <v>0</v>
      </c>
      <c r="P47" s="120">
        <v>0</v>
      </c>
      <c r="Q47" s="120">
        <v>0</v>
      </c>
      <c r="R47" s="120">
        <v>0</v>
      </c>
      <c r="S47" s="120">
        <v>0</v>
      </c>
      <c r="T47" s="120">
        <v>0</v>
      </c>
      <c r="U47" s="120">
        <v>0</v>
      </c>
      <c r="V47" s="120">
        <v>0</v>
      </c>
      <c r="W47" s="120">
        <v>0</v>
      </c>
      <c r="X47" s="123">
        <v>0</v>
      </c>
      <c r="Y47" s="123">
        <v>0</v>
      </c>
      <c r="Z47" s="123">
        <v>0</v>
      </c>
      <c r="AA47" s="3" t="b">
        <f>E47='Production Plan_wk33'!C383</f>
        <v>1</v>
      </c>
    </row>
    <row r="48" spans="2:27" x14ac:dyDescent="0.35">
      <c r="B48" s="10" t="s">
        <v>222</v>
      </c>
      <c r="C48" s="11"/>
      <c r="D48" s="273" t="s">
        <v>568</v>
      </c>
      <c r="E48" s="122">
        <f t="shared" si="0"/>
        <v>0</v>
      </c>
      <c r="F48" s="120">
        <v>0</v>
      </c>
      <c r="G48" s="120">
        <v>0</v>
      </c>
      <c r="H48" s="120">
        <v>0</v>
      </c>
      <c r="I48" s="120">
        <v>0</v>
      </c>
      <c r="J48" s="120">
        <v>0</v>
      </c>
      <c r="K48" s="120">
        <v>0</v>
      </c>
      <c r="L48" s="120">
        <v>0</v>
      </c>
      <c r="M48" s="120">
        <v>0</v>
      </c>
      <c r="N48" s="120">
        <v>0</v>
      </c>
      <c r="O48" s="120">
        <v>0</v>
      </c>
      <c r="P48" s="120">
        <v>0</v>
      </c>
      <c r="Q48" s="120">
        <v>0</v>
      </c>
      <c r="R48" s="120">
        <v>0</v>
      </c>
      <c r="S48" s="120">
        <v>0</v>
      </c>
      <c r="T48" s="120">
        <v>0</v>
      </c>
      <c r="U48" s="120">
        <v>0</v>
      </c>
      <c r="V48" s="120">
        <v>0</v>
      </c>
      <c r="W48" s="120">
        <v>0</v>
      </c>
      <c r="X48" s="123">
        <v>0</v>
      </c>
      <c r="Y48" s="123">
        <v>0</v>
      </c>
      <c r="Z48" s="123">
        <v>0</v>
      </c>
      <c r="AA48" s="3" t="b">
        <f>E48='Production Plan_wk33'!C384</f>
        <v>1</v>
      </c>
    </row>
    <row r="49" spans="2:37" x14ac:dyDescent="0.35">
      <c r="B49" s="10" t="s">
        <v>325</v>
      </c>
      <c r="C49" s="11"/>
      <c r="D49" s="273" t="s">
        <v>568</v>
      </c>
      <c r="E49" s="122">
        <f t="shared" si="0"/>
        <v>0</v>
      </c>
      <c r="F49" s="120">
        <v>0</v>
      </c>
      <c r="G49" s="120">
        <v>0</v>
      </c>
      <c r="H49" s="120">
        <v>0</v>
      </c>
      <c r="I49" s="120">
        <v>0</v>
      </c>
      <c r="J49" s="120">
        <v>0</v>
      </c>
      <c r="K49" s="120">
        <v>0</v>
      </c>
      <c r="L49" s="120">
        <v>0</v>
      </c>
      <c r="M49" s="120">
        <v>0</v>
      </c>
      <c r="N49" s="120">
        <v>0</v>
      </c>
      <c r="O49" s="120">
        <v>0</v>
      </c>
      <c r="P49" s="120">
        <v>0</v>
      </c>
      <c r="Q49" s="120">
        <v>0</v>
      </c>
      <c r="R49" s="120">
        <v>0</v>
      </c>
      <c r="S49" s="120">
        <v>0</v>
      </c>
      <c r="T49" s="120">
        <v>0</v>
      </c>
      <c r="U49" s="120">
        <v>0</v>
      </c>
      <c r="V49" s="120">
        <v>0</v>
      </c>
      <c r="W49" s="120">
        <v>0</v>
      </c>
      <c r="X49" s="123">
        <v>0</v>
      </c>
      <c r="Y49" s="123">
        <v>0</v>
      </c>
      <c r="Z49" s="123">
        <v>0</v>
      </c>
      <c r="AA49" s="3" t="b">
        <f>E49='Production Plan_wk33'!C385</f>
        <v>1</v>
      </c>
    </row>
    <row r="50" spans="2:37" x14ac:dyDescent="0.35">
      <c r="B50" s="10" t="s">
        <v>154</v>
      </c>
      <c r="C50" s="11"/>
      <c r="D50" s="273" t="s">
        <v>569</v>
      </c>
      <c r="E50" s="122">
        <f t="shared" si="0"/>
        <v>0</v>
      </c>
      <c r="F50" s="120">
        <v>0</v>
      </c>
      <c r="G50" s="120">
        <v>0</v>
      </c>
      <c r="H50" s="120">
        <v>0</v>
      </c>
      <c r="I50" s="120">
        <v>0</v>
      </c>
      <c r="J50" s="120">
        <v>0</v>
      </c>
      <c r="K50" s="120">
        <v>0</v>
      </c>
      <c r="L50" s="120">
        <v>0</v>
      </c>
      <c r="M50" s="120">
        <v>0</v>
      </c>
      <c r="N50" s="120">
        <v>0</v>
      </c>
      <c r="O50" s="120">
        <v>0</v>
      </c>
      <c r="P50" s="120">
        <v>0</v>
      </c>
      <c r="Q50" s="120">
        <v>0</v>
      </c>
      <c r="R50" s="120">
        <v>0</v>
      </c>
      <c r="S50" s="120">
        <v>0</v>
      </c>
      <c r="T50" s="120">
        <v>0</v>
      </c>
      <c r="U50" s="120">
        <v>0</v>
      </c>
      <c r="V50" s="120">
        <v>0</v>
      </c>
      <c r="W50" s="120">
        <v>0</v>
      </c>
      <c r="X50" s="123">
        <v>0</v>
      </c>
      <c r="Y50" s="123">
        <v>0</v>
      </c>
      <c r="Z50" s="123">
        <v>0</v>
      </c>
      <c r="AA50" s="3" t="b">
        <f>E50='Production Plan_wk33'!C386</f>
        <v>1</v>
      </c>
    </row>
    <row r="51" spans="2:37" x14ac:dyDescent="0.35">
      <c r="B51" s="10" t="s">
        <v>223</v>
      </c>
      <c r="C51" s="11"/>
      <c r="D51" s="273" t="s">
        <v>570</v>
      </c>
      <c r="E51" s="122">
        <f t="shared" si="0"/>
        <v>612</v>
      </c>
      <c r="F51" s="120">
        <v>153</v>
      </c>
      <c r="G51" s="120">
        <v>0</v>
      </c>
      <c r="H51" s="120">
        <v>0</v>
      </c>
      <c r="I51" s="120">
        <v>153</v>
      </c>
      <c r="J51" s="120">
        <v>0</v>
      </c>
      <c r="K51" s="120">
        <v>0</v>
      </c>
      <c r="L51" s="120">
        <v>153</v>
      </c>
      <c r="M51" s="120">
        <v>0</v>
      </c>
      <c r="N51" s="120">
        <v>0</v>
      </c>
      <c r="O51" s="120">
        <v>0</v>
      </c>
      <c r="P51" s="120">
        <v>0</v>
      </c>
      <c r="Q51" s="120">
        <v>0</v>
      </c>
      <c r="R51" s="120">
        <v>153</v>
      </c>
      <c r="S51" s="120">
        <v>0</v>
      </c>
      <c r="T51" s="120">
        <v>0</v>
      </c>
      <c r="U51" s="120">
        <v>0</v>
      </c>
      <c r="V51" s="120">
        <v>0</v>
      </c>
      <c r="W51" s="120">
        <v>0</v>
      </c>
      <c r="X51" s="123">
        <v>0</v>
      </c>
      <c r="Y51" s="123">
        <v>0</v>
      </c>
      <c r="Z51" s="123">
        <v>0</v>
      </c>
      <c r="AA51" s="3" t="b">
        <f>E51='Production Plan_wk33'!C387</f>
        <v>1</v>
      </c>
    </row>
    <row r="52" spans="2:37" x14ac:dyDescent="0.35">
      <c r="B52" s="10" t="s">
        <v>151</v>
      </c>
      <c r="C52" s="11"/>
      <c r="D52" s="273" t="s">
        <v>571</v>
      </c>
      <c r="E52" s="122">
        <f t="shared" si="0"/>
        <v>0</v>
      </c>
      <c r="F52" s="120">
        <v>0</v>
      </c>
      <c r="G52" s="120">
        <v>0</v>
      </c>
      <c r="H52" s="120">
        <v>0</v>
      </c>
      <c r="I52" s="120">
        <v>0</v>
      </c>
      <c r="J52" s="120">
        <v>0</v>
      </c>
      <c r="K52" s="120">
        <v>0</v>
      </c>
      <c r="L52" s="120">
        <v>0</v>
      </c>
      <c r="M52" s="120">
        <v>0</v>
      </c>
      <c r="N52" s="120">
        <v>0</v>
      </c>
      <c r="O52" s="120">
        <v>0</v>
      </c>
      <c r="P52" s="120">
        <v>0</v>
      </c>
      <c r="Q52" s="120">
        <v>0</v>
      </c>
      <c r="R52" s="120">
        <v>0</v>
      </c>
      <c r="S52" s="120">
        <v>0</v>
      </c>
      <c r="T52" s="120">
        <v>0</v>
      </c>
      <c r="U52" s="120">
        <v>0</v>
      </c>
      <c r="V52" s="120">
        <v>0</v>
      </c>
      <c r="W52" s="120">
        <v>0</v>
      </c>
      <c r="X52" s="123">
        <v>0</v>
      </c>
      <c r="Y52" s="123">
        <v>0</v>
      </c>
      <c r="Z52" s="123">
        <v>0</v>
      </c>
      <c r="AA52" s="3" t="b">
        <f>E52='Production Plan_wk33'!C388</f>
        <v>1</v>
      </c>
    </row>
    <row r="53" spans="2:37" x14ac:dyDescent="0.35">
      <c r="B53" s="10" t="s">
        <v>224</v>
      </c>
      <c r="C53" s="11"/>
      <c r="D53" s="273" t="s">
        <v>572</v>
      </c>
      <c r="E53" s="122">
        <f t="shared" si="0"/>
        <v>0</v>
      </c>
      <c r="F53" s="120">
        <v>0</v>
      </c>
      <c r="G53" s="120">
        <v>0</v>
      </c>
      <c r="H53" s="120">
        <v>0</v>
      </c>
      <c r="I53" s="120">
        <v>0</v>
      </c>
      <c r="J53" s="120">
        <v>0</v>
      </c>
      <c r="K53" s="120">
        <v>0</v>
      </c>
      <c r="L53" s="120">
        <v>0</v>
      </c>
      <c r="M53" s="120">
        <v>0</v>
      </c>
      <c r="N53" s="120">
        <v>0</v>
      </c>
      <c r="O53" s="120">
        <v>0</v>
      </c>
      <c r="P53" s="120">
        <v>0</v>
      </c>
      <c r="Q53" s="120">
        <v>0</v>
      </c>
      <c r="R53" s="120">
        <v>0</v>
      </c>
      <c r="S53" s="120">
        <v>0</v>
      </c>
      <c r="T53" s="120">
        <v>0</v>
      </c>
      <c r="U53" s="120">
        <v>0</v>
      </c>
      <c r="V53" s="120">
        <v>0</v>
      </c>
      <c r="W53" s="120">
        <v>0</v>
      </c>
      <c r="X53" s="123">
        <v>0</v>
      </c>
      <c r="Y53" s="123">
        <v>0</v>
      </c>
      <c r="Z53" s="123">
        <v>0</v>
      </c>
      <c r="AA53" s="3" t="b">
        <f>E53='Production Plan_wk33'!C389</f>
        <v>1</v>
      </c>
      <c r="AK53"/>
    </row>
    <row r="54" spans="2:37" x14ac:dyDescent="0.35">
      <c r="B54" s="10" t="s">
        <v>50</v>
      </c>
      <c r="C54" s="11"/>
      <c r="D54" s="273" t="s">
        <v>573</v>
      </c>
      <c r="E54" s="122">
        <f t="shared" si="0"/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120">
        <v>0</v>
      </c>
      <c r="L54" s="120">
        <v>0</v>
      </c>
      <c r="M54" s="120">
        <v>0</v>
      </c>
      <c r="N54" s="120">
        <v>0</v>
      </c>
      <c r="O54" s="120">
        <v>0</v>
      </c>
      <c r="P54" s="120">
        <v>0</v>
      </c>
      <c r="Q54" s="120">
        <v>0</v>
      </c>
      <c r="R54" s="120">
        <v>0</v>
      </c>
      <c r="S54" s="120">
        <v>0</v>
      </c>
      <c r="T54" s="120">
        <v>0</v>
      </c>
      <c r="U54" s="120">
        <v>0</v>
      </c>
      <c r="V54" s="120">
        <v>0</v>
      </c>
      <c r="W54" s="120">
        <v>0</v>
      </c>
      <c r="X54" s="123">
        <v>0</v>
      </c>
      <c r="Y54" s="123">
        <v>0</v>
      </c>
      <c r="Z54" s="123">
        <v>0</v>
      </c>
      <c r="AA54" s="3" t="b">
        <f>E54='Production Plan_wk33'!C390</f>
        <v>1</v>
      </c>
      <c r="AK54"/>
    </row>
    <row r="55" spans="2:37" x14ac:dyDescent="0.35">
      <c r="B55" s="10" t="s">
        <v>225</v>
      </c>
      <c r="C55" s="11"/>
      <c r="D55" s="273" t="s">
        <v>574</v>
      </c>
      <c r="E55" s="122">
        <f t="shared" si="0"/>
        <v>0</v>
      </c>
      <c r="F55" s="120">
        <v>0</v>
      </c>
      <c r="G55" s="120">
        <v>0</v>
      </c>
      <c r="H55" s="120">
        <v>0</v>
      </c>
      <c r="I55" s="120">
        <v>0</v>
      </c>
      <c r="J55" s="120">
        <v>0</v>
      </c>
      <c r="K55" s="120">
        <v>0</v>
      </c>
      <c r="L55" s="120">
        <v>0</v>
      </c>
      <c r="M55" s="120">
        <v>0</v>
      </c>
      <c r="N55" s="120">
        <v>0</v>
      </c>
      <c r="O55" s="120">
        <v>0</v>
      </c>
      <c r="P55" s="120">
        <v>0</v>
      </c>
      <c r="Q55" s="120">
        <v>0</v>
      </c>
      <c r="R55" s="120">
        <v>0</v>
      </c>
      <c r="S55" s="120">
        <v>0</v>
      </c>
      <c r="T55" s="120">
        <v>0</v>
      </c>
      <c r="U55" s="120">
        <v>0</v>
      </c>
      <c r="V55" s="120">
        <v>0</v>
      </c>
      <c r="W55" s="120">
        <v>0</v>
      </c>
      <c r="X55" s="123">
        <v>0</v>
      </c>
      <c r="Y55" s="123">
        <v>0</v>
      </c>
      <c r="Z55" s="123">
        <v>0</v>
      </c>
      <c r="AA55" s="3" t="b">
        <f>E55='Production Plan_wk33'!C391</f>
        <v>1</v>
      </c>
      <c r="AK55"/>
    </row>
    <row r="56" spans="2:37" x14ac:dyDescent="0.35">
      <c r="B56" s="10" t="s">
        <v>49</v>
      </c>
      <c r="C56" s="11"/>
      <c r="D56" s="273" t="s">
        <v>575</v>
      </c>
      <c r="E56" s="122">
        <f t="shared" si="0"/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120">
        <v>0</v>
      </c>
      <c r="L56" s="120">
        <v>0</v>
      </c>
      <c r="M56" s="120">
        <v>0</v>
      </c>
      <c r="N56" s="120">
        <v>0</v>
      </c>
      <c r="O56" s="120">
        <v>0</v>
      </c>
      <c r="P56" s="120">
        <v>0</v>
      </c>
      <c r="Q56" s="120">
        <v>0</v>
      </c>
      <c r="R56" s="120">
        <v>0</v>
      </c>
      <c r="S56" s="120">
        <v>0</v>
      </c>
      <c r="T56" s="120">
        <v>0</v>
      </c>
      <c r="U56" s="120">
        <v>0</v>
      </c>
      <c r="V56" s="120">
        <v>0</v>
      </c>
      <c r="W56" s="120">
        <v>0</v>
      </c>
      <c r="X56" s="123">
        <v>0</v>
      </c>
      <c r="Y56" s="123">
        <v>0</v>
      </c>
      <c r="Z56" s="123">
        <v>0</v>
      </c>
      <c r="AA56" s="3" t="b">
        <f>E56='Production Plan_wk33'!C392</f>
        <v>1</v>
      </c>
      <c r="AK56"/>
    </row>
    <row r="57" spans="2:37" x14ac:dyDescent="0.35">
      <c r="B57" s="10" t="s">
        <v>36</v>
      </c>
      <c r="C57" s="11"/>
      <c r="D57" s="273" t="s">
        <v>576</v>
      </c>
      <c r="E57" s="122">
        <f t="shared" si="0"/>
        <v>0</v>
      </c>
      <c r="F57" s="120">
        <v>0</v>
      </c>
      <c r="G57" s="120">
        <v>0</v>
      </c>
      <c r="H57" s="120">
        <v>0</v>
      </c>
      <c r="I57" s="120">
        <v>0</v>
      </c>
      <c r="J57" s="120">
        <v>0</v>
      </c>
      <c r="K57" s="120">
        <v>0</v>
      </c>
      <c r="L57" s="120">
        <v>0</v>
      </c>
      <c r="M57" s="120">
        <v>0</v>
      </c>
      <c r="N57" s="120">
        <v>0</v>
      </c>
      <c r="O57" s="120">
        <v>0</v>
      </c>
      <c r="P57" s="120">
        <v>0</v>
      </c>
      <c r="Q57" s="120">
        <v>0</v>
      </c>
      <c r="R57" s="120">
        <v>0</v>
      </c>
      <c r="S57" s="120">
        <v>0</v>
      </c>
      <c r="T57" s="120">
        <v>0</v>
      </c>
      <c r="U57" s="120">
        <v>0</v>
      </c>
      <c r="V57" s="120">
        <v>0</v>
      </c>
      <c r="W57" s="120">
        <v>0</v>
      </c>
      <c r="X57" s="123">
        <v>0</v>
      </c>
      <c r="Y57" s="123">
        <v>0</v>
      </c>
      <c r="Z57" s="123">
        <v>0</v>
      </c>
      <c r="AA57" s="3" t="b">
        <f>E57='Production Plan_wk33'!C393</f>
        <v>1</v>
      </c>
      <c r="AK57"/>
    </row>
    <row r="58" spans="2:37" x14ac:dyDescent="0.35">
      <c r="B58" s="10" t="s">
        <v>43</v>
      </c>
      <c r="C58" s="11"/>
      <c r="D58" s="273" t="s">
        <v>577</v>
      </c>
      <c r="E58" s="122">
        <f t="shared" si="0"/>
        <v>0</v>
      </c>
      <c r="F58" s="120">
        <v>0</v>
      </c>
      <c r="G58" s="120">
        <v>0</v>
      </c>
      <c r="H58" s="120">
        <v>0</v>
      </c>
      <c r="I58" s="120">
        <v>0</v>
      </c>
      <c r="J58" s="120">
        <v>0</v>
      </c>
      <c r="K58" s="120">
        <v>0</v>
      </c>
      <c r="L58" s="120">
        <v>0</v>
      </c>
      <c r="M58" s="120">
        <v>0</v>
      </c>
      <c r="N58" s="120">
        <v>0</v>
      </c>
      <c r="O58" s="120">
        <v>0</v>
      </c>
      <c r="P58" s="120">
        <v>0</v>
      </c>
      <c r="Q58" s="120">
        <v>0</v>
      </c>
      <c r="R58" s="120">
        <v>0</v>
      </c>
      <c r="S58" s="120">
        <v>0</v>
      </c>
      <c r="T58" s="120">
        <v>0</v>
      </c>
      <c r="U58" s="120">
        <v>0</v>
      </c>
      <c r="V58" s="120">
        <v>0</v>
      </c>
      <c r="W58" s="120">
        <v>0</v>
      </c>
      <c r="X58" s="123">
        <v>0</v>
      </c>
      <c r="Y58" s="123">
        <v>0</v>
      </c>
      <c r="Z58" s="123">
        <v>0</v>
      </c>
      <c r="AA58" s="3" t="b">
        <f>E58='Production Plan_wk33'!C394</f>
        <v>1</v>
      </c>
      <c r="AE58"/>
    </row>
    <row r="59" spans="2:37" x14ac:dyDescent="0.35">
      <c r="B59" s="10" t="s">
        <v>226</v>
      </c>
      <c r="C59" s="12"/>
      <c r="D59" s="274" t="s">
        <v>578</v>
      </c>
      <c r="E59" s="122">
        <f t="shared" si="0"/>
        <v>0</v>
      </c>
      <c r="F59" s="120">
        <v>0</v>
      </c>
      <c r="G59" s="120">
        <v>0</v>
      </c>
      <c r="H59" s="120">
        <v>0</v>
      </c>
      <c r="I59" s="120">
        <v>0</v>
      </c>
      <c r="J59" s="120">
        <v>0</v>
      </c>
      <c r="K59" s="120">
        <v>0</v>
      </c>
      <c r="L59" s="120">
        <v>0</v>
      </c>
      <c r="M59" s="120">
        <v>0</v>
      </c>
      <c r="N59" s="120">
        <v>0</v>
      </c>
      <c r="O59" s="120">
        <v>0</v>
      </c>
      <c r="P59" s="120">
        <v>0</v>
      </c>
      <c r="Q59" s="120">
        <v>0</v>
      </c>
      <c r="R59" s="120">
        <v>0</v>
      </c>
      <c r="S59" s="120">
        <v>0</v>
      </c>
      <c r="T59" s="120">
        <v>0</v>
      </c>
      <c r="U59" s="120">
        <v>0</v>
      </c>
      <c r="V59" s="120">
        <v>0</v>
      </c>
      <c r="W59" s="120">
        <v>0</v>
      </c>
      <c r="X59" s="123">
        <v>0</v>
      </c>
      <c r="Y59" s="123">
        <v>0</v>
      </c>
      <c r="Z59" s="123">
        <v>0</v>
      </c>
      <c r="AA59" s="3" t="b">
        <f>E59='Production Plan_wk33'!C395</f>
        <v>1</v>
      </c>
      <c r="AE59"/>
    </row>
    <row r="60" spans="2:37" x14ac:dyDescent="0.35">
      <c r="B60" s="10" t="s">
        <v>298</v>
      </c>
      <c r="C60" s="12"/>
      <c r="D60" s="274" t="s">
        <v>579</v>
      </c>
      <c r="E60" s="122">
        <f t="shared" si="0"/>
        <v>2144</v>
      </c>
      <c r="F60" s="120">
        <v>264</v>
      </c>
      <c r="G60" s="120">
        <v>0</v>
      </c>
      <c r="H60" s="120">
        <v>288</v>
      </c>
      <c r="I60" s="120">
        <v>264</v>
      </c>
      <c r="J60" s="120">
        <v>0</v>
      </c>
      <c r="K60" s="120">
        <v>288</v>
      </c>
      <c r="L60" s="120">
        <v>200</v>
      </c>
      <c r="M60" s="120">
        <v>0</v>
      </c>
      <c r="N60" s="120">
        <v>288</v>
      </c>
      <c r="O60" s="120">
        <v>0</v>
      </c>
      <c r="P60" s="120">
        <v>0</v>
      </c>
      <c r="Q60" s="120">
        <v>0</v>
      </c>
      <c r="R60" s="120">
        <v>264</v>
      </c>
      <c r="S60" s="120">
        <v>0</v>
      </c>
      <c r="T60" s="120">
        <v>288</v>
      </c>
      <c r="U60" s="120">
        <v>0</v>
      </c>
      <c r="V60" s="120">
        <v>0</v>
      </c>
      <c r="W60" s="120">
        <v>0</v>
      </c>
      <c r="X60" s="123">
        <v>0</v>
      </c>
      <c r="Y60" s="123">
        <v>0</v>
      </c>
      <c r="Z60" s="123">
        <v>0</v>
      </c>
      <c r="AA60" s="3" t="b">
        <f>E60='Production Plan_wk33'!C396</f>
        <v>1</v>
      </c>
      <c r="AE60"/>
    </row>
    <row r="61" spans="2:37" x14ac:dyDescent="0.35">
      <c r="B61" s="10" t="s">
        <v>297</v>
      </c>
      <c r="C61" s="12"/>
      <c r="D61" s="274" t="s">
        <v>580</v>
      </c>
      <c r="E61" s="122">
        <f t="shared" si="0"/>
        <v>0</v>
      </c>
      <c r="F61" s="120">
        <v>0</v>
      </c>
      <c r="G61" s="120">
        <v>0</v>
      </c>
      <c r="H61" s="120">
        <v>0</v>
      </c>
      <c r="I61" s="120">
        <v>0</v>
      </c>
      <c r="J61" s="120">
        <v>0</v>
      </c>
      <c r="K61" s="120">
        <v>0</v>
      </c>
      <c r="L61" s="120">
        <v>0</v>
      </c>
      <c r="M61" s="120">
        <v>0</v>
      </c>
      <c r="N61" s="120">
        <v>0</v>
      </c>
      <c r="O61" s="120">
        <v>0</v>
      </c>
      <c r="P61" s="120">
        <v>0</v>
      </c>
      <c r="Q61" s="120">
        <v>0</v>
      </c>
      <c r="R61" s="120">
        <v>0</v>
      </c>
      <c r="S61" s="120">
        <v>0</v>
      </c>
      <c r="T61" s="120">
        <v>0</v>
      </c>
      <c r="U61" s="120">
        <v>0</v>
      </c>
      <c r="V61" s="120">
        <v>0</v>
      </c>
      <c r="W61" s="120">
        <v>0</v>
      </c>
      <c r="X61" s="123">
        <v>0</v>
      </c>
      <c r="Y61" s="123">
        <v>0</v>
      </c>
      <c r="Z61" s="123">
        <v>0</v>
      </c>
      <c r="AA61" s="3" t="b">
        <f>E61='Production Plan_wk33'!C397</f>
        <v>1</v>
      </c>
      <c r="AE61"/>
    </row>
    <row r="62" spans="2:37" x14ac:dyDescent="0.35">
      <c r="B62" s="10" t="s">
        <v>384</v>
      </c>
      <c r="C62" s="12"/>
      <c r="D62" s="274" t="s">
        <v>590</v>
      </c>
      <c r="E62" s="122">
        <f t="shared" si="0"/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L62" s="120">
        <v>0</v>
      </c>
      <c r="M62" s="120">
        <v>0</v>
      </c>
      <c r="N62" s="120">
        <v>0</v>
      </c>
      <c r="O62" s="120">
        <v>0</v>
      </c>
      <c r="P62" s="120">
        <v>0</v>
      </c>
      <c r="Q62" s="120">
        <v>0</v>
      </c>
      <c r="R62" s="120">
        <v>0</v>
      </c>
      <c r="S62" s="120">
        <v>0</v>
      </c>
      <c r="T62" s="120">
        <v>0</v>
      </c>
      <c r="U62" s="120">
        <v>0</v>
      </c>
      <c r="V62" s="120">
        <v>0</v>
      </c>
      <c r="W62" s="120">
        <v>0</v>
      </c>
      <c r="X62" s="123">
        <v>0</v>
      </c>
      <c r="Y62" s="123">
        <v>0</v>
      </c>
      <c r="Z62" s="123">
        <v>0</v>
      </c>
      <c r="AA62" s="3" t="b">
        <f>E62='Production Plan_wk33'!C398</f>
        <v>1</v>
      </c>
      <c r="AE62"/>
      <c r="AK62"/>
    </row>
    <row r="63" spans="2:37" x14ac:dyDescent="0.35">
      <c r="B63" s="10" t="s">
        <v>385</v>
      </c>
      <c r="C63" s="12"/>
      <c r="D63" s="274" t="s">
        <v>590</v>
      </c>
      <c r="E63" s="122">
        <f t="shared" si="0"/>
        <v>0</v>
      </c>
      <c r="F63" s="120">
        <v>0</v>
      </c>
      <c r="G63" s="120">
        <v>0</v>
      </c>
      <c r="H63" s="120">
        <v>0</v>
      </c>
      <c r="I63" s="120">
        <v>0</v>
      </c>
      <c r="J63" s="120">
        <v>0</v>
      </c>
      <c r="K63" s="120">
        <v>0</v>
      </c>
      <c r="L63" s="120">
        <v>0</v>
      </c>
      <c r="M63" s="120">
        <v>0</v>
      </c>
      <c r="N63" s="120">
        <v>0</v>
      </c>
      <c r="O63" s="120">
        <v>0</v>
      </c>
      <c r="P63" s="120">
        <v>0</v>
      </c>
      <c r="Q63" s="120">
        <v>0</v>
      </c>
      <c r="R63" s="120">
        <v>0</v>
      </c>
      <c r="S63" s="120">
        <v>0</v>
      </c>
      <c r="T63" s="120">
        <v>0</v>
      </c>
      <c r="U63" s="120">
        <v>0</v>
      </c>
      <c r="V63" s="120">
        <v>0</v>
      </c>
      <c r="W63" s="120">
        <v>0</v>
      </c>
      <c r="X63" s="123">
        <v>0</v>
      </c>
      <c r="Y63" s="123">
        <v>0</v>
      </c>
      <c r="Z63" s="123">
        <v>0</v>
      </c>
      <c r="AA63" s="3" t="b">
        <f>E63='Production Plan_wk33'!C399</f>
        <v>1</v>
      </c>
      <c r="AE63"/>
      <c r="AI63"/>
      <c r="AK63"/>
    </row>
    <row r="64" spans="2:37" x14ac:dyDescent="0.35">
      <c r="B64" s="10" t="s">
        <v>227</v>
      </c>
      <c r="C64" s="11"/>
      <c r="D64" s="273" t="s">
        <v>581</v>
      </c>
      <c r="E64" s="122">
        <f t="shared" si="0"/>
        <v>0</v>
      </c>
      <c r="F64" s="120">
        <v>0</v>
      </c>
      <c r="G64" s="120">
        <v>0</v>
      </c>
      <c r="H64" s="120">
        <v>0</v>
      </c>
      <c r="I64" s="120">
        <v>0</v>
      </c>
      <c r="J64" s="120">
        <v>0</v>
      </c>
      <c r="K64" s="120">
        <v>0</v>
      </c>
      <c r="L64" s="120">
        <v>0</v>
      </c>
      <c r="M64" s="120">
        <v>0</v>
      </c>
      <c r="N64" s="120">
        <v>0</v>
      </c>
      <c r="O64" s="120">
        <v>0</v>
      </c>
      <c r="P64" s="120">
        <v>0</v>
      </c>
      <c r="Q64" s="120">
        <v>0</v>
      </c>
      <c r="R64" s="120">
        <v>0</v>
      </c>
      <c r="S64" s="120">
        <v>0</v>
      </c>
      <c r="T64" s="120">
        <v>0</v>
      </c>
      <c r="U64" s="120">
        <v>0</v>
      </c>
      <c r="V64" s="120">
        <v>0</v>
      </c>
      <c r="W64" s="120">
        <v>0</v>
      </c>
      <c r="X64" s="123">
        <v>0</v>
      </c>
      <c r="Y64" s="123">
        <v>0</v>
      </c>
      <c r="Z64" s="123">
        <v>0</v>
      </c>
      <c r="AA64" s="3" t="b">
        <f>E64='Production Plan_wk33'!C400</f>
        <v>1</v>
      </c>
      <c r="AI64"/>
      <c r="AK64"/>
    </row>
    <row r="65" spans="2:37" x14ac:dyDescent="0.35">
      <c r="B65" s="10" t="s">
        <v>315</v>
      </c>
      <c r="C65" s="11"/>
      <c r="D65" s="273" t="s">
        <v>581</v>
      </c>
      <c r="E65" s="122">
        <f t="shared" si="0"/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L65" s="120">
        <v>0</v>
      </c>
      <c r="M65" s="120">
        <v>0</v>
      </c>
      <c r="N65" s="120">
        <v>0</v>
      </c>
      <c r="O65" s="120">
        <v>0</v>
      </c>
      <c r="P65" s="120">
        <v>0</v>
      </c>
      <c r="Q65" s="120">
        <v>0</v>
      </c>
      <c r="R65" s="120">
        <v>0</v>
      </c>
      <c r="S65" s="120">
        <v>0</v>
      </c>
      <c r="T65" s="120">
        <v>0</v>
      </c>
      <c r="U65" s="120">
        <v>0</v>
      </c>
      <c r="V65" s="120">
        <v>0</v>
      </c>
      <c r="W65" s="120">
        <v>0</v>
      </c>
      <c r="X65" s="123">
        <v>0</v>
      </c>
      <c r="Y65" s="123">
        <v>0</v>
      </c>
      <c r="Z65" s="123">
        <v>0</v>
      </c>
      <c r="AA65" s="3" t="b">
        <f>E65='Production Plan_wk33'!C401</f>
        <v>1</v>
      </c>
      <c r="AI65"/>
      <c r="AK65"/>
    </row>
    <row r="66" spans="2:37" x14ac:dyDescent="0.35">
      <c r="B66" s="10" t="s">
        <v>228</v>
      </c>
      <c r="C66" s="11"/>
      <c r="D66" s="273" t="s">
        <v>582</v>
      </c>
      <c r="E66" s="122">
        <f t="shared" si="0"/>
        <v>0</v>
      </c>
      <c r="F66" s="120">
        <v>0</v>
      </c>
      <c r="G66" s="120">
        <v>0</v>
      </c>
      <c r="H66" s="120">
        <v>0</v>
      </c>
      <c r="I66" s="120">
        <v>0</v>
      </c>
      <c r="J66" s="120">
        <v>0</v>
      </c>
      <c r="K66" s="120">
        <v>0</v>
      </c>
      <c r="L66" s="120">
        <v>0</v>
      </c>
      <c r="M66" s="120">
        <v>0</v>
      </c>
      <c r="N66" s="120">
        <v>0</v>
      </c>
      <c r="O66" s="120">
        <v>0</v>
      </c>
      <c r="P66" s="120">
        <v>0</v>
      </c>
      <c r="Q66" s="120">
        <v>0</v>
      </c>
      <c r="R66" s="120">
        <v>0</v>
      </c>
      <c r="S66" s="120">
        <v>0</v>
      </c>
      <c r="T66" s="120">
        <v>0</v>
      </c>
      <c r="U66" s="120">
        <v>0</v>
      </c>
      <c r="V66" s="120">
        <v>0</v>
      </c>
      <c r="W66" s="120">
        <v>0</v>
      </c>
      <c r="X66" s="123">
        <v>0</v>
      </c>
      <c r="Y66" s="123">
        <v>0</v>
      </c>
      <c r="Z66" s="123">
        <v>0</v>
      </c>
      <c r="AA66" s="3" t="b">
        <f>E66='Production Plan_wk33'!C402</f>
        <v>1</v>
      </c>
      <c r="AI66"/>
      <c r="AK66"/>
    </row>
    <row r="67" spans="2:37" x14ac:dyDescent="0.35">
      <c r="B67" s="10" t="s">
        <v>292</v>
      </c>
      <c r="C67" s="11"/>
      <c r="D67" s="273" t="s">
        <v>583</v>
      </c>
      <c r="E67" s="122">
        <f t="shared" si="0"/>
        <v>0</v>
      </c>
      <c r="F67" s="120">
        <v>0</v>
      </c>
      <c r="G67" s="120">
        <v>0</v>
      </c>
      <c r="H67" s="120">
        <v>0</v>
      </c>
      <c r="I67" s="120">
        <v>0</v>
      </c>
      <c r="J67" s="120">
        <v>0</v>
      </c>
      <c r="K67" s="120">
        <v>0</v>
      </c>
      <c r="L67" s="120">
        <v>0</v>
      </c>
      <c r="M67" s="120">
        <v>0</v>
      </c>
      <c r="N67" s="120">
        <v>0</v>
      </c>
      <c r="O67" s="120">
        <v>0</v>
      </c>
      <c r="P67" s="120">
        <v>0</v>
      </c>
      <c r="Q67" s="120">
        <v>0</v>
      </c>
      <c r="R67" s="120">
        <v>0</v>
      </c>
      <c r="S67" s="120">
        <v>0</v>
      </c>
      <c r="T67" s="120">
        <v>0</v>
      </c>
      <c r="U67" s="120">
        <v>0</v>
      </c>
      <c r="V67" s="120">
        <v>0</v>
      </c>
      <c r="W67" s="120">
        <v>0</v>
      </c>
      <c r="X67" s="123">
        <v>0</v>
      </c>
      <c r="Y67" s="123">
        <v>0</v>
      </c>
      <c r="Z67" s="123">
        <v>0</v>
      </c>
      <c r="AA67" s="3" t="b">
        <f>E67='Production Plan_wk33'!C403</f>
        <v>1</v>
      </c>
      <c r="AI67"/>
    </row>
    <row r="68" spans="2:37" x14ac:dyDescent="0.35">
      <c r="B68" s="10" t="s">
        <v>229</v>
      </c>
      <c r="C68" s="11"/>
      <c r="D68" s="273" t="s">
        <v>584</v>
      </c>
      <c r="E68" s="122">
        <f t="shared" si="0"/>
        <v>0</v>
      </c>
      <c r="F68" s="120">
        <v>0</v>
      </c>
      <c r="G68" s="120">
        <v>0</v>
      </c>
      <c r="H68" s="120">
        <v>0</v>
      </c>
      <c r="I68" s="120">
        <v>0</v>
      </c>
      <c r="J68" s="120">
        <v>0</v>
      </c>
      <c r="K68" s="120">
        <v>0</v>
      </c>
      <c r="L68" s="120">
        <v>0</v>
      </c>
      <c r="M68" s="120">
        <v>0</v>
      </c>
      <c r="N68" s="120">
        <v>0</v>
      </c>
      <c r="O68" s="120">
        <v>0</v>
      </c>
      <c r="P68" s="120">
        <v>0</v>
      </c>
      <c r="Q68" s="120">
        <v>0</v>
      </c>
      <c r="R68" s="120">
        <v>0</v>
      </c>
      <c r="S68" s="120">
        <v>0</v>
      </c>
      <c r="T68" s="120">
        <v>0</v>
      </c>
      <c r="U68" s="120">
        <v>0</v>
      </c>
      <c r="V68" s="120">
        <v>0</v>
      </c>
      <c r="W68" s="120">
        <v>0</v>
      </c>
      <c r="X68" s="123">
        <v>0</v>
      </c>
      <c r="Y68" s="123">
        <v>0</v>
      </c>
      <c r="Z68" s="123">
        <v>0</v>
      </c>
      <c r="AA68" s="3" t="b">
        <f>E68='Production Plan_wk33'!C404</f>
        <v>1</v>
      </c>
      <c r="AI68"/>
    </row>
    <row r="69" spans="2:37" x14ac:dyDescent="0.35">
      <c r="B69" s="10" t="s">
        <v>22</v>
      </c>
      <c r="C69" s="11"/>
      <c r="D69" s="273" t="s">
        <v>585</v>
      </c>
      <c r="E69" s="122">
        <f t="shared" si="0"/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L69" s="120">
        <v>0</v>
      </c>
      <c r="M69" s="120">
        <v>0</v>
      </c>
      <c r="N69" s="120">
        <v>0</v>
      </c>
      <c r="O69" s="120">
        <v>0</v>
      </c>
      <c r="P69" s="120">
        <v>0</v>
      </c>
      <c r="Q69" s="120">
        <v>0</v>
      </c>
      <c r="R69" s="120">
        <v>0</v>
      </c>
      <c r="S69" s="120">
        <v>0</v>
      </c>
      <c r="T69" s="120">
        <v>0</v>
      </c>
      <c r="U69" s="120">
        <v>0</v>
      </c>
      <c r="V69" s="120">
        <v>0</v>
      </c>
      <c r="W69" s="120">
        <v>0</v>
      </c>
      <c r="X69" s="123">
        <v>0</v>
      </c>
      <c r="Y69" s="123">
        <v>0</v>
      </c>
      <c r="Z69" s="123">
        <v>0</v>
      </c>
      <c r="AA69" s="3" t="b">
        <f>E69='Production Plan_wk33'!C405</f>
        <v>1</v>
      </c>
    </row>
    <row r="70" spans="2:37" x14ac:dyDescent="0.35">
      <c r="B70" s="10" t="s">
        <v>77</v>
      </c>
      <c r="C70" s="11"/>
      <c r="D70" s="273" t="s">
        <v>585</v>
      </c>
      <c r="E70" s="122">
        <f t="shared" si="0"/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120">
        <v>0</v>
      </c>
      <c r="L70" s="120">
        <v>0</v>
      </c>
      <c r="M70" s="120">
        <v>0</v>
      </c>
      <c r="N70" s="120">
        <v>0</v>
      </c>
      <c r="O70" s="120">
        <v>0</v>
      </c>
      <c r="P70" s="120">
        <v>0</v>
      </c>
      <c r="Q70" s="120">
        <v>0</v>
      </c>
      <c r="R70" s="120">
        <v>0</v>
      </c>
      <c r="S70" s="120">
        <v>0</v>
      </c>
      <c r="T70" s="120">
        <v>0</v>
      </c>
      <c r="U70" s="120">
        <v>0</v>
      </c>
      <c r="V70" s="120">
        <v>0</v>
      </c>
      <c r="W70" s="120">
        <v>0</v>
      </c>
      <c r="X70" s="123">
        <v>0</v>
      </c>
      <c r="Y70" s="123">
        <v>0</v>
      </c>
      <c r="Z70" s="123">
        <v>0</v>
      </c>
      <c r="AA70" s="3" t="b">
        <f>E70='Production Plan_wk33'!C406</f>
        <v>1</v>
      </c>
    </row>
    <row r="71" spans="2:37" x14ac:dyDescent="0.35">
      <c r="B71" s="10" t="s">
        <v>122</v>
      </c>
      <c r="C71" s="11"/>
      <c r="D71" s="273" t="s">
        <v>586</v>
      </c>
      <c r="E71" s="122">
        <f t="shared" si="0"/>
        <v>0</v>
      </c>
      <c r="F71" s="120">
        <v>0</v>
      </c>
      <c r="G71" s="120">
        <v>0</v>
      </c>
      <c r="H71" s="120">
        <v>0</v>
      </c>
      <c r="I71" s="120">
        <v>0</v>
      </c>
      <c r="J71" s="120">
        <v>0</v>
      </c>
      <c r="K71" s="120">
        <v>0</v>
      </c>
      <c r="L71" s="120">
        <v>0</v>
      </c>
      <c r="M71" s="120">
        <v>0</v>
      </c>
      <c r="N71" s="120">
        <v>0</v>
      </c>
      <c r="O71" s="120">
        <v>0</v>
      </c>
      <c r="P71" s="120">
        <v>0</v>
      </c>
      <c r="Q71" s="120">
        <v>0</v>
      </c>
      <c r="R71" s="120">
        <v>0</v>
      </c>
      <c r="S71" s="120">
        <v>0</v>
      </c>
      <c r="T71" s="120">
        <v>0</v>
      </c>
      <c r="U71" s="120">
        <v>0</v>
      </c>
      <c r="V71" s="120">
        <v>0</v>
      </c>
      <c r="W71" s="120">
        <v>0</v>
      </c>
      <c r="X71" s="123">
        <v>0</v>
      </c>
      <c r="Y71" s="123">
        <v>0</v>
      </c>
      <c r="Z71" s="123">
        <v>0</v>
      </c>
      <c r="AA71" s="3" t="b">
        <f>E71='Production Plan_wk33'!C407</f>
        <v>1</v>
      </c>
    </row>
    <row r="72" spans="2:37" x14ac:dyDescent="0.35">
      <c r="B72" s="10" t="s">
        <v>230</v>
      </c>
      <c r="C72" s="11"/>
      <c r="D72" s="273" t="s">
        <v>587</v>
      </c>
      <c r="E72" s="122">
        <f t="shared" si="0"/>
        <v>0</v>
      </c>
      <c r="F72" s="120">
        <v>0</v>
      </c>
      <c r="G72" s="120">
        <v>0</v>
      </c>
      <c r="H72" s="120">
        <v>0</v>
      </c>
      <c r="I72" s="120">
        <v>0</v>
      </c>
      <c r="J72" s="120">
        <v>0</v>
      </c>
      <c r="K72" s="120">
        <v>0</v>
      </c>
      <c r="L72" s="120">
        <v>0</v>
      </c>
      <c r="M72" s="120">
        <v>0</v>
      </c>
      <c r="N72" s="120">
        <v>0</v>
      </c>
      <c r="O72" s="120">
        <v>0</v>
      </c>
      <c r="P72" s="120">
        <v>0</v>
      </c>
      <c r="Q72" s="120">
        <v>0</v>
      </c>
      <c r="R72" s="120">
        <v>0</v>
      </c>
      <c r="S72" s="120">
        <v>0</v>
      </c>
      <c r="T72" s="120">
        <v>0</v>
      </c>
      <c r="U72" s="120">
        <v>0</v>
      </c>
      <c r="V72" s="120">
        <v>0</v>
      </c>
      <c r="W72" s="120">
        <v>0</v>
      </c>
      <c r="X72" s="123">
        <v>0</v>
      </c>
      <c r="Y72" s="123">
        <v>0</v>
      </c>
      <c r="Z72" s="123">
        <v>0</v>
      </c>
      <c r="AA72" s="3" t="b">
        <f>E72='Production Plan_wk33'!C408</f>
        <v>1</v>
      </c>
    </row>
    <row r="73" spans="2:37" x14ac:dyDescent="0.35">
      <c r="B73" s="5" t="s">
        <v>231</v>
      </c>
      <c r="C73" s="6"/>
      <c r="D73" s="5"/>
      <c r="E73" s="121">
        <f t="shared" ref="E73:Z73" si="1">SUM(E5:E72)</f>
        <v>8520</v>
      </c>
      <c r="F73" s="121">
        <f t="shared" si="1"/>
        <v>1153</v>
      </c>
      <c r="G73" s="121">
        <f t="shared" si="1"/>
        <v>278</v>
      </c>
      <c r="H73" s="121">
        <f t="shared" si="1"/>
        <v>804</v>
      </c>
      <c r="I73" s="121">
        <f t="shared" si="1"/>
        <v>1092</v>
      </c>
      <c r="J73" s="121">
        <f t="shared" si="1"/>
        <v>278</v>
      </c>
      <c r="K73" s="121">
        <f t="shared" si="1"/>
        <v>804</v>
      </c>
      <c r="L73" s="121">
        <f t="shared" si="1"/>
        <v>1028</v>
      </c>
      <c r="M73" s="121">
        <f t="shared" si="1"/>
        <v>278</v>
      </c>
      <c r="N73" s="121">
        <f t="shared" si="1"/>
        <v>804</v>
      </c>
      <c r="O73" s="121">
        <f t="shared" si="1"/>
        <v>0</v>
      </c>
      <c r="P73" s="121">
        <f t="shared" si="1"/>
        <v>0</v>
      </c>
      <c r="Q73" s="121">
        <f t="shared" si="1"/>
        <v>0</v>
      </c>
      <c r="R73" s="121">
        <f t="shared" si="1"/>
        <v>701</v>
      </c>
      <c r="S73" s="121">
        <f t="shared" si="1"/>
        <v>200</v>
      </c>
      <c r="T73" s="121">
        <f t="shared" si="1"/>
        <v>534</v>
      </c>
      <c r="U73" s="121">
        <f t="shared" si="1"/>
        <v>284</v>
      </c>
      <c r="V73" s="121">
        <f t="shared" si="1"/>
        <v>36</v>
      </c>
      <c r="W73" s="121">
        <f t="shared" si="1"/>
        <v>246</v>
      </c>
      <c r="X73" s="121">
        <f t="shared" si="1"/>
        <v>0</v>
      </c>
      <c r="Y73" s="121">
        <f t="shared" si="1"/>
        <v>0</v>
      </c>
      <c r="Z73" s="121">
        <f t="shared" si="1"/>
        <v>0</v>
      </c>
      <c r="AA73" s="3" t="b">
        <f>E73='Production Plan_wk33'!C409</f>
        <v>1</v>
      </c>
      <c r="AC73"/>
    </row>
    <row r="74" spans="2:37" x14ac:dyDescent="0.35">
      <c r="B74" s="13" t="s">
        <v>232</v>
      </c>
      <c r="C74" s="13"/>
      <c r="D74" s="13"/>
      <c r="E74" s="124"/>
      <c r="F74" s="281">
        <f>SUM(F73:H73)</f>
        <v>2235</v>
      </c>
      <c r="G74" s="281"/>
      <c r="H74" s="281"/>
      <c r="I74" s="281">
        <f>SUM(I73:K73)</f>
        <v>2174</v>
      </c>
      <c r="J74" s="281"/>
      <c r="K74" s="281"/>
      <c r="L74" s="281">
        <f>SUM(L73:N73)</f>
        <v>2110</v>
      </c>
      <c r="M74" s="281"/>
      <c r="N74" s="281"/>
      <c r="O74" s="281">
        <f>SUM(O73:Q73)</f>
        <v>0</v>
      </c>
      <c r="P74" s="281"/>
      <c r="Q74" s="281"/>
      <c r="R74" s="281">
        <f>SUM(R73:T73)</f>
        <v>1435</v>
      </c>
      <c r="S74" s="281"/>
      <c r="T74" s="281"/>
      <c r="U74" s="281">
        <f>SUM(U73:W73)</f>
        <v>566</v>
      </c>
      <c r="V74" s="281"/>
      <c r="W74" s="281"/>
      <c r="X74" s="281">
        <f>SUM(X73:Z73)</f>
        <v>0</v>
      </c>
      <c r="Y74" s="281"/>
      <c r="Z74" s="281"/>
    </row>
    <row r="75" spans="2:37" ht="21.65" hidden="1" customHeight="1" x14ac:dyDescent="0.35"/>
    <row r="76" spans="2:37" ht="21.65" customHeight="1" x14ac:dyDescent="0.35"/>
    <row r="77" spans="2:37" ht="15" customHeight="1" x14ac:dyDescent="0.35">
      <c r="B77" s="277" t="s">
        <v>589</v>
      </c>
      <c r="C77" s="277"/>
      <c r="D77" s="277"/>
      <c r="E77" s="277"/>
      <c r="F77" s="276">
        <f>F2</f>
        <v>46237</v>
      </c>
      <c r="G77" s="279"/>
      <c r="H77" s="279"/>
      <c r="I77" s="276">
        <f>I2</f>
        <v>46238</v>
      </c>
      <c r="J77" s="279"/>
      <c r="K77" s="279"/>
      <c r="L77" s="276">
        <f>L2</f>
        <v>46239</v>
      </c>
      <c r="M77" s="279"/>
      <c r="N77" s="279"/>
      <c r="O77" s="276">
        <f>O2</f>
        <v>46240</v>
      </c>
      <c r="P77" s="279"/>
      <c r="Q77" s="279"/>
      <c r="R77" s="276">
        <f>R2</f>
        <v>46241</v>
      </c>
      <c r="S77" s="279"/>
      <c r="T77" s="279"/>
      <c r="U77" s="276">
        <f>U2</f>
        <v>46242</v>
      </c>
      <c r="V77" s="279"/>
      <c r="W77" s="279"/>
      <c r="X77" s="276">
        <f>X2</f>
        <v>46243</v>
      </c>
      <c r="Y77" s="279"/>
      <c r="Z77" s="279"/>
    </row>
    <row r="78" spans="2:37" x14ac:dyDescent="0.35">
      <c r="B78" s="283" t="s">
        <v>8</v>
      </c>
      <c r="C78" s="14"/>
      <c r="D78" s="277" t="s">
        <v>534</v>
      </c>
      <c r="E78" s="278" t="s">
        <v>263</v>
      </c>
      <c r="F78" s="279" t="s">
        <v>1</v>
      </c>
      <c r="G78" s="279"/>
      <c r="H78" s="279"/>
      <c r="I78" s="279" t="s">
        <v>2</v>
      </c>
      <c r="J78" s="279"/>
      <c r="K78" s="279"/>
      <c r="L78" s="279" t="s">
        <v>3</v>
      </c>
      <c r="M78" s="279"/>
      <c r="N78" s="279"/>
      <c r="O78" s="279" t="s">
        <v>4</v>
      </c>
      <c r="P78" s="279"/>
      <c r="Q78" s="279"/>
      <c r="R78" s="279" t="s">
        <v>5</v>
      </c>
      <c r="S78" s="279"/>
      <c r="T78" s="279"/>
      <c r="U78" s="279" t="s">
        <v>6</v>
      </c>
      <c r="V78" s="279"/>
      <c r="W78" s="279"/>
      <c r="X78" s="279" t="s">
        <v>7</v>
      </c>
      <c r="Y78" s="279"/>
      <c r="Z78" s="279"/>
    </row>
    <row r="79" spans="2:37" x14ac:dyDescent="0.35">
      <c r="B79" s="284"/>
      <c r="C79" s="275"/>
      <c r="D79" s="285"/>
      <c r="E79" s="282"/>
      <c r="F79" s="7" t="s">
        <v>10</v>
      </c>
      <c r="G79" s="8" t="s">
        <v>11</v>
      </c>
      <c r="H79" s="9" t="s">
        <v>12</v>
      </c>
      <c r="I79" s="7" t="s">
        <v>10</v>
      </c>
      <c r="J79" s="8" t="s">
        <v>11</v>
      </c>
      <c r="K79" s="9" t="s">
        <v>12</v>
      </c>
      <c r="L79" s="7" t="s">
        <v>10</v>
      </c>
      <c r="M79" s="8" t="s">
        <v>11</v>
      </c>
      <c r="N79" s="9" t="s">
        <v>12</v>
      </c>
      <c r="O79" s="7" t="s">
        <v>10</v>
      </c>
      <c r="P79" s="8" t="s">
        <v>11</v>
      </c>
      <c r="Q79" s="9" t="s">
        <v>12</v>
      </c>
      <c r="R79" s="7" t="s">
        <v>10</v>
      </c>
      <c r="S79" s="8" t="s">
        <v>11</v>
      </c>
      <c r="T79" s="9" t="s">
        <v>12</v>
      </c>
      <c r="U79" s="7" t="s">
        <v>10</v>
      </c>
      <c r="V79" s="8" t="s">
        <v>11</v>
      </c>
      <c r="W79" s="9" t="s">
        <v>12</v>
      </c>
      <c r="X79" s="7" t="s">
        <v>10</v>
      </c>
      <c r="Y79" s="8" t="s">
        <v>11</v>
      </c>
      <c r="Z79" s="9" t="s">
        <v>12</v>
      </c>
    </row>
    <row r="80" spans="2:37" x14ac:dyDescent="0.35">
      <c r="B80" s="15" t="s">
        <v>318</v>
      </c>
      <c r="C80" s="15"/>
      <c r="D80" s="15" t="s">
        <v>548</v>
      </c>
      <c r="E80" s="25">
        <f>SUM(F80:Z80)</f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3">
        <v>0</v>
      </c>
      <c r="Y80" s="23">
        <v>0</v>
      </c>
      <c r="Z80" s="23">
        <v>0</v>
      </c>
      <c r="AA80" s="1" t="b">
        <f>E80='Production Plan_wk33'!C416</f>
        <v>1</v>
      </c>
    </row>
    <row r="81" spans="2:27" x14ac:dyDescent="0.35">
      <c r="B81" s="15" t="s">
        <v>69</v>
      </c>
      <c r="C81" s="15"/>
      <c r="D81" s="15" t="s">
        <v>551</v>
      </c>
      <c r="E81" s="25">
        <f t="shared" ref="E81:E93" si="2">SUM(F81:Z81)</f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3">
        <v>0</v>
      </c>
      <c r="Y81" s="23">
        <v>0</v>
      </c>
      <c r="Z81" s="23">
        <v>0</v>
      </c>
      <c r="AA81" s="1" t="b">
        <f>E81='Production Plan_wk33'!C417</f>
        <v>1</v>
      </c>
    </row>
    <row r="82" spans="2:27" x14ac:dyDescent="0.35">
      <c r="B82" s="15" t="s">
        <v>32</v>
      </c>
      <c r="C82" s="15"/>
      <c r="D82" s="15" t="s">
        <v>553</v>
      </c>
      <c r="E82" s="25">
        <f t="shared" si="2"/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3">
        <v>0</v>
      </c>
      <c r="Y82" s="23">
        <v>0</v>
      </c>
      <c r="Z82" s="23">
        <v>0</v>
      </c>
      <c r="AA82" s="1" t="b">
        <f>E82='Production Plan_wk33'!C418</f>
        <v>1</v>
      </c>
    </row>
    <row r="83" spans="2:27" x14ac:dyDescent="0.35">
      <c r="B83" s="15" t="s">
        <v>206</v>
      </c>
      <c r="C83" s="15"/>
      <c r="D83" s="15" t="s">
        <v>555</v>
      </c>
      <c r="E83" s="25">
        <f t="shared" si="2"/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3">
        <v>0</v>
      </c>
      <c r="Y83" s="23">
        <v>0</v>
      </c>
      <c r="Z83" s="23">
        <v>0</v>
      </c>
      <c r="AA83" s="1" t="b">
        <f>E83='Production Plan_wk33'!C419</f>
        <v>1</v>
      </c>
    </row>
    <row r="84" spans="2:27" x14ac:dyDescent="0.35">
      <c r="B84" s="15" t="s">
        <v>234</v>
      </c>
      <c r="C84" s="15"/>
      <c r="D84" s="15" t="s">
        <v>556</v>
      </c>
      <c r="E84" s="25">
        <f t="shared" si="2"/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3">
        <v>0</v>
      </c>
      <c r="Y84" s="23">
        <v>0</v>
      </c>
      <c r="Z84" s="23">
        <v>0</v>
      </c>
      <c r="AA84" s="1" t="b">
        <f>E84='Production Plan_wk33'!C420</f>
        <v>1</v>
      </c>
    </row>
    <row r="85" spans="2:27" x14ac:dyDescent="0.35">
      <c r="B85" s="15" t="s">
        <v>14</v>
      </c>
      <c r="C85" s="15"/>
      <c r="D85" s="15" t="s">
        <v>543</v>
      </c>
      <c r="E85" s="25">
        <f t="shared" si="2"/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3">
        <v>0</v>
      </c>
      <c r="Y85" s="23">
        <v>0</v>
      </c>
      <c r="Z85" s="23">
        <v>0</v>
      </c>
      <c r="AA85" s="1" t="b">
        <f>E85='Production Plan_wk33'!C421</f>
        <v>1</v>
      </c>
    </row>
    <row r="86" spans="2:27" x14ac:dyDescent="0.35">
      <c r="B86" s="15" t="s">
        <v>112</v>
      </c>
      <c r="C86" s="15"/>
      <c r="D86" s="15" t="s">
        <v>565</v>
      </c>
      <c r="E86" s="25">
        <f t="shared" ref="E86" si="3">SUM(F86:Z86)</f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3">
        <v>0</v>
      </c>
      <c r="Y86" s="23">
        <v>0</v>
      </c>
      <c r="Z86" s="23">
        <v>0</v>
      </c>
      <c r="AA86" s="1" t="b">
        <f>E86='Production Plan_wk33'!C422</f>
        <v>1</v>
      </c>
    </row>
    <row r="87" spans="2:27" x14ac:dyDescent="0.35">
      <c r="B87" s="15" t="s">
        <v>159</v>
      </c>
      <c r="C87" s="15"/>
      <c r="D87" s="15" t="s">
        <v>572</v>
      </c>
      <c r="E87" s="25">
        <f t="shared" si="2"/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3">
        <v>0</v>
      </c>
      <c r="Y87" s="23">
        <v>0</v>
      </c>
      <c r="Z87" s="23">
        <v>0</v>
      </c>
      <c r="AA87" s="1" t="b">
        <f>E87='Production Plan_wk33'!C423</f>
        <v>1</v>
      </c>
    </row>
    <row r="88" spans="2:27" x14ac:dyDescent="0.35">
      <c r="B88" s="15" t="s">
        <v>235</v>
      </c>
      <c r="C88" s="15"/>
      <c r="D88" s="15" t="s">
        <v>570</v>
      </c>
      <c r="E88" s="25">
        <f t="shared" si="2"/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3">
        <v>0</v>
      </c>
      <c r="Y88" s="23">
        <v>0</v>
      </c>
      <c r="Z88" s="23">
        <v>0</v>
      </c>
      <c r="AA88" s="1" t="b">
        <f>E88='Production Plan_wk33'!C424</f>
        <v>1</v>
      </c>
    </row>
    <row r="89" spans="2:27" x14ac:dyDescent="0.35">
      <c r="B89" s="15" t="s">
        <v>49</v>
      </c>
      <c r="C89" s="15"/>
      <c r="D89" s="15" t="s">
        <v>575</v>
      </c>
      <c r="E89" s="25">
        <f t="shared" si="2"/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3">
        <v>0</v>
      </c>
      <c r="Y89" s="23">
        <v>0</v>
      </c>
      <c r="Z89" s="23">
        <v>0</v>
      </c>
      <c r="AA89" s="1" t="b">
        <f>E89='Production Plan_wk33'!C425</f>
        <v>1</v>
      </c>
    </row>
    <row r="90" spans="2:27" x14ac:dyDescent="0.35">
      <c r="B90" s="15" t="s">
        <v>34</v>
      </c>
      <c r="C90" s="15"/>
      <c r="D90" s="15" t="s">
        <v>578</v>
      </c>
      <c r="E90" s="25">
        <f t="shared" si="2"/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3">
        <v>0</v>
      </c>
      <c r="Y90" s="23">
        <v>0</v>
      </c>
      <c r="Z90" s="23">
        <v>0</v>
      </c>
      <c r="AA90" s="1" t="b">
        <f>E90='Production Plan_wk33'!C426</f>
        <v>1</v>
      </c>
    </row>
    <row r="91" spans="2:27" x14ac:dyDescent="0.35">
      <c r="B91" s="15" t="s">
        <v>50</v>
      </c>
      <c r="C91" s="15"/>
      <c r="D91" s="15" t="s">
        <v>573</v>
      </c>
      <c r="E91" s="25">
        <f t="shared" si="2"/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3">
        <v>0</v>
      </c>
      <c r="Y91" s="23">
        <v>0</v>
      </c>
      <c r="Z91" s="23">
        <v>0</v>
      </c>
      <c r="AA91" s="1" t="b">
        <f>E91='Production Plan_wk33'!C427</f>
        <v>1</v>
      </c>
    </row>
    <row r="92" spans="2:27" x14ac:dyDescent="0.35">
      <c r="B92" s="15" t="s">
        <v>22</v>
      </c>
      <c r="C92" s="15"/>
      <c r="D92" s="15" t="s">
        <v>585</v>
      </c>
      <c r="E92" s="25">
        <f t="shared" si="2"/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3">
        <v>0</v>
      </c>
      <c r="Y92" s="23">
        <v>0</v>
      </c>
      <c r="Z92" s="23">
        <v>0</v>
      </c>
      <c r="AA92" s="1" t="b">
        <f>E92='Production Plan_wk33'!C428</f>
        <v>1</v>
      </c>
    </row>
    <row r="93" spans="2:27" x14ac:dyDescent="0.35">
      <c r="B93" s="15" t="s">
        <v>588</v>
      </c>
      <c r="C93" s="15"/>
      <c r="D93" s="15" t="s">
        <v>574</v>
      </c>
      <c r="E93" s="25">
        <f t="shared" si="2"/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3">
        <v>0</v>
      </c>
      <c r="Y93" s="23">
        <v>0</v>
      </c>
      <c r="Z93" s="23">
        <v>0</v>
      </c>
      <c r="AA93" s="1" t="b">
        <f>E93='Production Plan_wk33'!C429</f>
        <v>1</v>
      </c>
    </row>
    <row r="94" spans="2:27" x14ac:dyDescent="0.35">
      <c r="B94" s="5" t="s">
        <v>231</v>
      </c>
      <c r="C94" s="5"/>
      <c r="D94" s="5"/>
      <c r="E94" s="24">
        <f t="shared" ref="E94:Z94" si="4">SUM(E80:E93)</f>
        <v>0</v>
      </c>
      <c r="F94" s="24">
        <f t="shared" si="4"/>
        <v>0</v>
      </c>
      <c r="G94" s="24">
        <f t="shared" si="4"/>
        <v>0</v>
      </c>
      <c r="H94" s="24">
        <f t="shared" si="4"/>
        <v>0</v>
      </c>
      <c r="I94" s="24">
        <f t="shared" si="4"/>
        <v>0</v>
      </c>
      <c r="J94" s="24">
        <f t="shared" si="4"/>
        <v>0</v>
      </c>
      <c r="K94" s="24">
        <f t="shared" si="4"/>
        <v>0</v>
      </c>
      <c r="L94" s="24">
        <f t="shared" si="4"/>
        <v>0</v>
      </c>
      <c r="M94" s="24">
        <f t="shared" si="4"/>
        <v>0</v>
      </c>
      <c r="N94" s="24">
        <f t="shared" si="4"/>
        <v>0</v>
      </c>
      <c r="O94" s="24">
        <f t="shared" si="4"/>
        <v>0</v>
      </c>
      <c r="P94" s="24">
        <f t="shared" si="4"/>
        <v>0</v>
      </c>
      <c r="Q94" s="24">
        <f t="shared" si="4"/>
        <v>0</v>
      </c>
      <c r="R94" s="24">
        <f t="shared" si="4"/>
        <v>0</v>
      </c>
      <c r="S94" s="24">
        <f t="shared" si="4"/>
        <v>0</v>
      </c>
      <c r="T94" s="24">
        <f t="shared" si="4"/>
        <v>0</v>
      </c>
      <c r="U94" s="24">
        <f t="shared" si="4"/>
        <v>0</v>
      </c>
      <c r="V94" s="24">
        <f t="shared" si="4"/>
        <v>0</v>
      </c>
      <c r="W94" s="24">
        <f t="shared" si="4"/>
        <v>0</v>
      </c>
      <c r="X94" s="24">
        <f t="shared" si="4"/>
        <v>0</v>
      </c>
      <c r="Y94" s="24">
        <f t="shared" si="4"/>
        <v>0</v>
      </c>
      <c r="Z94" s="24">
        <f t="shared" si="4"/>
        <v>0</v>
      </c>
      <c r="AA94" s="1" t="b">
        <f>E94='Production Plan_wk33'!C430</f>
        <v>1</v>
      </c>
    </row>
    <row r="95" spans="2:27" x14ac:dyDescent="0.35">
      <c r="B95" s="13" t="s">
        <v>232</v>
      </c>
      <c r="C95" s="13"/>
      <c r="D95" s="13"/>
      <c r="E95" s="26"/>
      <c r="F95" s="286">
        <f>SUM(F94:H94)</f>
        <v>0</v>
      </c>
      <c r="G95" s="286"/>
      <c r="H95" s="286"/>
      <c r="I95" s="286">
        <f>SUM(I94:K94)</f>
        <v>0</v>
      </c>
      <c r="J95" s="286"/>
      <c r="K95" s="286"/>
      <c r="L95" s="286">
        <f>SUM(L94:N94)</f>
        <v>0</v>
      </c>
      <c r="M95" s="286"/>
      <c r="N95" s="286"/>
      <c r="O95" s="286">
        <f>SUM(O94:Q94)</f>
        <v>0</v>
      </c>
      <c r="P95" s="286"/>
      <c r="Q95" s="286"/>
      <c r="R95" s="286">
        <f>SUM(R94:T94)</f>
        <v>0</v>
      </c>
      <c r="S95" s="286"/>
      <c r="T95" s="286"/>
      <c r="U95" s="286">
        <f>SUM(U94:W94)</f>
        <v>0</v>
      </c>
      <c r="V95" s="286"/>
      <c r="W95" s="286"/>
      <c r="X95" s="286">
        <f>SUM(X94:Z94)</f>
        <v>0</v>
      </c>
      <c r="Y95" s="286"/>
      <c r="Z95" s="286"/>
    </row>
    <row r="97" spans="2:25" ht="20" x14ac:dyDescent="0.35">
      <c r="B97" s="16" t="s">
        <v>289</v>
      </c>
      <c r="C97" s="16"/>
      <c r="D97" s="16"/>
      <c r="G97" s="3">
        <f>F74+F95</f>
        <v>2235</v>
      </c>
      <c r="J97" s="3">
        <f>I74+I95</f>
        <v>2174</v>
      </c>
      <c r="M97" s="3">
        <f>L74+L95</f>
        <v>2110</v>
      </c>
      <c r="P97" s="3">
        <f>O74+O95</f>
        <v>0</v>
      </c>
      <c r="S97" s="3">
        <f>R74+R95</f>
        <v>1435</v>
      </c>
      <c r="V97" s="3">
        <f>U74+U95</f>
        <v>566</v>
      </c>
      <c r="Y97" s="3">
        <f>X74+X95</f>
        <v>0</v>
      </c>
    </row>
    <row r="98" spans="2:25" x14ac:dyDescent="0.35">
      <c r="G98" s="3">
        <f>G97</f>
        <v>2235</v>
      </c>
      <c r="J98" s="3">
        <f>J97+G98</f>
        <v>4409</v>
      </c>
      <c r="M98" s="3">
        <f>M97+J98</f>
        <v>6519</v>
      </c>
      <c r="P98" s="3">
        <f>P97+M98</f>
        <v>6519</v>
      </c>
      <c r="S98" s="3">
        <f>S97+P98</f>
        <v>7954</v>
      </c>
      <c r="V98" s="3">
        <f>V97+S98</f>
        <v>8520</v>
      </c>
      <c r="Y98" s="3">
        <f>Y97+V98</f>
        <v>8520</v>
      </c>
    </row>
    <row r="161" spans="9:9" x14ac:dyDescent="0.35">
      <c r="I161"/>
    </row>
    <row r="162" spans="9:9" x14ac:dyDescent="0.35">
      <c r="I162"/>
    </row>
    <row r="163" spans="9:9" x14ac:dyDescent="0.35">
      <c r="I163"/>
    </row>
    <row r="164" spans="9:9" x14ac:dyDescent="0.35">
      <c r="I164"/>
    </row>
  </sheetData>
  <sheetProtection autoFilter="0" pivotTables="0"/>
  <autoFilter ref="B4:AA74" xr:uid="{4CA1C954-5451-4E28-8640-1379732603B3}"/>
  <mergeCells count="50">
    <mergeCell ref="X95:Z95"/>
    <mergeCell ref="F95:H95"/>
    <mergeCell ref="I95:K95"/>
    <mergeCell ref="L95:N95"/>
    <mergeCell ref="O95:Q95"/>
    <mergeCell ref="R95:T95"/>
    <mergeCell ref="U95:W95"/>
    <mergeCell ref="X78:Z78"/>
    <mergeCell ref="O77:Q77"/>
    <mergeCell ref="B78:B79"/>
    <mergeCell ref="D78:D79"/>
    <mergeCell ref="B77:E77"/>
    <mergeCell ref="R77:T77"/>
    <mergeCell ref="U77:W77"/>
    <mergeCell ref="X77:Z77"/>
    <mergeCell ref="F78:H78"/>
    <mergeCell ref="I78:K78"/>
    <mergeCell ref="L78:N78"/>
    <mergeCell ref="F77:H77"/>
    <mergeCell ref="I77:K77"/>
    <mergeCell ref="L77:N77"/>
    <mergeCell ref="E78:E79"/>
    <mergeCell ref="U74:W74"/>
    <mergeCell ref="O78:Q78"/>
    <mergeCell ref="R78:T78"/>
    <mergeCell ref="U78:W78"/>
    <mergeCell ref="X74:Z74"/>
    <mergeCell ref="F3:H3"/>
    <mergeCell ref="I3:K3"/>
    <mergeCell ref="L3:N3"/>
    <mergeCell ref="F74:H74"/>
    <mergeCell ref="I74:K74"/>
    <mergeCell ref="L74:N74"/>
    <mergeCell ref="O74:Q74"/>
    <mergeCell ref="R74:T74"/>
    <mergeCell ref="O2:Q2"/>
    <mergeCell ref="R2:T2"/>
    <mergeCell ref="U2:W2"/>
    <mergeCell ref="X2:Z2"/>
    <mergeCell ref="AA2:AA4"/>
    <mergeCell ref="O3:Q3"/>
    <mergeCell ref="R3:T3"/>
    <mergeCell ref="U3:W3"/>
    <mergeCell ref="X3:Z3"/>
    <mergeCell ref="L2:N2"/>
    <mergeCell ref="B2:B4"/>
    <mergeCell ref="C2:C4"/>
    <mergeCell ref="E2:E4"/>
    <mergeCell ref="F2:H2"/>
    <mergeCell ref="I2:K2"/>
  </mergeCells>
  <pageMargins left="0.7" right="0.7" top="0.75" bottom="0.75" header="0.3" footer="0.3"/>
  <pageSetup orientation="portrait" horizontalDpi="4294967293" r:id="rId1"/>
  <headerFooter>
    <oddFooter>&amp;R&amp;R &amp;KFF0000Confidential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5C83F267A86D488E5211D2BB2BE74F" ma:contentTypeVersion="3" ma:contentTypeDescription="Create a new document." ma:contentTypeScope="" ma:versionID="b0ba4d555e18815479a47592461852b5">
  <xsd:schema xmlns:xsd="http://www.w3.org/2001/XMLSchema" xmlns:xs="http://www.w3.org/2001/XMLSchema" xmlns:p="http://schemas.microsoft.com/office/2006/metadata/properties" xmlns:ns2="0c8f8172-c4eb-4b61-8873-901f2ae853ab" xmlns:ns3="6de5476d-9086-4fd9-9382-d3fce0dcfaf2" targetNamespace="http://schemas.microsoft.com/office/2006/metadata/properties" ma:root="true" ma:fieldsID="e307e62cfaf5cd9f266ff88b293972c3" ns2:_="" ns3:_="">
    <xsd:import namespace="0c8f8172-c4eb-4b61-8873-901f2ae853ab"/>
    <xsd:import namespace="6de5476d-9086-4fd9-9382-d3fce0dcfaf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8f8172-c4eb-4b61-8873-901f2ae853a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e5476d-9086-4fd9-9382-d3fce0dcf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c8f8172-c4eb-4b61-8873-901f2ae853ab">UJMCMANUH4QY-112636406-836</_dlc_DocId>
    <_dlc_DocIdUrl xmlns="0c8f8172-c4eb-4b61-8873-901f2ae853ab">
      <Url>https://autoliv.sharepoint.com/sites/SP_PhlaLogAzplogisticscommon/_layouts/15/DocIdRedir.aspx?ID=UJMCMANUH4QY-112636406-836</Url>
      <Description>UJMCMANUH4QY-112636406-836</Description>
    </_dlc_DocIdUrl>
  </documentManagement>
</p:properties>
</file>

<file path=customXml/itemProps1.xml><?xml version="1.0" encoding="utf-8"?>
<ds:datastoreItem xmlns:ds="http://schemas.openxmlformats.org/officeDocument/2006/customXml" ds:itemID="{FBDA9899-78C6-4385-9B78-2E21E5A73C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DA5FD6C-BC62-4092-B229-FF8B6C8EB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8f8172-c4eb-4b61-8873-901f2ae853ab"/>
    <ds:schemaRef ds:uri="6de5476d-9086-4fd9-9382-d3fce0dcfa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945F2E-021A-4E4F-862F-D80EF255F56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D4F8532-1E0F-4FCB-AC2E-9A6B5F5CCC97}">
  <ds:schemaRefs>
    <ds:schemaRef ds:uri="6de5476d-9086-4fd9-9382-d3fce0dcfaf2"/>
    <ds:schemaRef ds:uri="http://purl.org/dc/elements/1.1/"/>
    <ds:schemaRef ds:uri="http://purl.org/dc/terms/"/>
    <ds:schemaRef ds:uri="http://schemas.openxmlformats.org/package/2006/metadata/core-properties"/>
    <ds:schemaRef ds:uri="0c8f8172-c4eb-4b61-8873-901f2ae853ab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Plan_wk33</vt:lpstr>
      <vt:lpstr>Body 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Athea-Shayne Benabaye</dc:creator>
  <cp:keywords>Confidential</cp:keywords>
  <cp:lastModifiedBy>Iam</cp:lastModifiedBy>
  <cp:lastPrinted>2025-09-19T07:37:01Z</cp:lastPrinted>
  <dcterms:created xsi:type="dcterms:W3CDTF">2025-07-02T02:14:03Z</dcterms:created>
  <dcterms:modified xsi:type="dcterms:W3CDTF">2026-08-16T23:36:12Z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0x0101002B5C83F267A86D488E5211D2BB2BE74F</vt:lpwstr>
  </property>
  <property fmtid="{D5CDD505-2E9C-101B-9397-08002B2CF9AE}" pid="3" name="Classification">
    <vt:lpwstr>Confidential</vt:lpwstr>
  </property>
  <property fmtid="{D5CDD505-2E9C-101B-9397-08002B2CF9AE}" pid="4" name="_dlc_DocIdItemGuid">
    <vt:lpwstr>23ed7ed7-3c0e-4d48-ab82-8ed5d2a7d86a</vt:lpwstr>
  </property>
</Properties>
</file>